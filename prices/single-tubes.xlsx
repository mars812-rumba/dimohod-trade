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голые" sheetId="1" r:id="rId1"/>
    <sheet name="50 изоляция" sheetId="2" r:id="rId2"/>
    <sheet name="30 изоляция" sheetId="3" r:id="rId3"/>
    <sheet name="50 изол (каолин)" sheetId="4" r:id="rId4"/>
    <sheet name="25 изол (каолин)" sheetId="5" r:id="rId5"/>
    <sheet name="Фланцы" sheetId="6" r:id="rId6"/>
    <sheet name="комплекты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<sst xmlns="http://schemas.openxmlformats.org/spreadsheetml/2006/main" count="3213" uniqueCount="316">
  <si>
    <t>Розничный прайс-лист на продукцию ООО "Дымоход - Трейд плюс " от 01.04.2024</t>
  </si>
  <si>
    <t>Труба без изоляции — ОЦИНКОВКА</t>
  </si>
  <si>
    <t>Ø 100</t>
  </si>
  <si>
    <t>Ø 110</t>
  </si>
  <si>
    <t>Ø 120</t>
  </si>
  <si>
    <t>Ø 130</t>
  </si>
  <si>
    <t>Ø 140</t>
  </si>
  <si>
    <t>Ø 150</t>
  </si>
  <si>
    <t>Ø 160</t>
  </si>
  <si>
    <t>Ø 180</t>
  </si>
  <si>
    <t>Ø 200</t>
  </si>
  <si>
    <t>Ø 210</t>
  </si>
  <si>
    <t>Ø 220</t>
  </si>
  <si>
    <t>Ø 230</t>
  </si>
  <si>
    <t>Ø 250</t>
  </si>
  <si>
    <t>Ø 280</t>
  </si>
  <si>
    <t>Ø 300</t>
  </si>
  <si>
    <t>ТрубаL=1000 мм</t>
  </si>
  <si>
    <t>Труба L=750 мм</t>
  </si>
  <si>
    <t>Труба L=500 мм</t>
  </si>
  <si>
    <t>Труба L=350 мм</t>
  </si>
  <si>
    <t>Труба L=250 мм</t>
  </si>
  <si>
    <t>Труба L=150 мм</t>
  </si>
  <si>
    <t>Отвод 90 гр</t>
  </si>
  <si>
    <t>Отвод 45 гр</t>
  </si>
  <si>
    <t>Зонт</t>
  </si>
  <si>
    <t>Тройник с К/О 90гр</t>
  </si>
  <si>
    <t>Тройник с К/О 45гр</t>
  </si>
  <si>
    <t>Четверник с к/о 90гр</t>
  </si>
  <si>
    <t>Шибер выдвиж</t>
  </si>
  <si>
    <t>Прочистка/юбка</t>
  </si>
  <si>
    <t>Конденсатоотвод</t>
  </si>
  <si>
    <t>Заглушка</t>
  </si>
  <si>
    <t>Хомут силовой</t>
  </si>
  <si>
    <t>Хомут широкий</t>
  </si>
  <si>
    <t>Розничный прайс-лист на продукцию ООО "Дымоход - Трейд плюс " от 20.01.2025</t>
  </si>
  <si>
    <t>Труба без изоляции — Нержавеющая сталь AISI 430 (толщина 0,5 мм)</t>
  </si>
  <si>
    <t>Дефлектор</t>
  </si>
  <si>
    <t>Труба без изоляции — Нержавеющая сталь AISI 430 (толщина 0,8 мм)</t>
  </si>
  <si>
    <t>Шибер поворотный</t>
  </si>
  <si>
    <t>Шибер выдвиж 05/08</t>
  </si>
  <si>
    <t>Шибер выдвиж 08/08</t>
  </si>
  <si>
    <t xml:space="preserve">Хомут силовой </t>
  </si>
  <si>
    <t>Труба без изоляции — Нержавеющая сталь AISI 304 (толщина 0,5 мм)</t>
  </si>
  <si>
    <t>Тройник с К/О 90</t>
  </si>
  <si>
    <t>Тройник с К/О 45</t>
  </si>
  <si>
    <t>Четверник с К/О 90</t>
  </si>
  <si>
    <t>Труба без изоляции — Нержавеющая сталь AISI 304 (толщина 0,8 мм)</t>
  </si>
  <si>
    <t>Труба без изоляции — Нержавеющая сталь AISI 321 (толщина 0,5 мм)</t>
  </si>
  <si>
    <t>Труба без изоляции — Нержавеющая сталь AISI 321 (толщина 0,8мм)</t>
  </si>
  <si>
    <t>Труба без изоляции — Нержавеющая сталь AISI 316 (толщина 0,5мм)</t>
  </si>
  <si>
    <t>Труба без изоляции — Нержавеющая сталь AISI 316 (толщина 0,8мм)</t>
  </si>
  <si>
    <t>50мм</t>
  </si>
  <si>
    <r>
      <rPr>
        <b/>
        <sz val="18"/>
        <color rgb="FF000000"/>
        <rFont val="Calibri"/>
        <charset val="134"/>
      </rPr>
      <t xml:space="preserve">Внутренняя труба — </t>
    </r>
    <r>
      <rPr>
        <b/>
        <sz val="18"/>
        <color rgb="FF000000"/>
        <rFont val="Calibri"/>
        <charset val="134"/>
      </rPr>
      <t>ОЦИНКОВКА</t>
    </r>
  </si>
  <si>
    <r>
      <rPr>
        <b/>
        <sz val="18"/>
        <color rgb="FF000000"/>
        <rFont val="Calibri"/>
        <charset val="134"/>
      </rPr>
      <t xml:space="preserve">Наружный кожух — </t>
    </r>
    <r>
      <rPr>
        <b/>
        <sz val="18"/>
        <color rgb="FF000000"/>
        <rFont val="Calibri"/>
        <charset val="134"/>
      </rPr>
      <t>ОЦИНКОВКА</t>
    </r>
  </si>
  <si>
    <t>Изоляция — Rockwool Wired Mat 105 (толщина 50мм)</t>
  </si>
  <si>
    <t>Ø 100/200</t>
  </si>
  <si>
    <t>Ø 110/210</t>
  </si>
  <si>
    <t>Ø 120/220</t>
  </si>
  <si>
    <t>Ø 130/230</t>
  </si>
  <si>
    <t>Ø 140/240</t>
  </si>
  <si>
    <t>Ø 150/250</t>
  </si>
  <si>
    <t>Ø 160/260</t>
  </si>
  <si>
    <t>Ø 180/280</t>
  </si>
  <si>
    <t>Ø 200/300</t>
  </si>
  <si>
    <t>Ø 250/350</t>
  </si>
  <si>
    <t>Ø 280/380</t>
  </si>
  <si>
    <t>Ø 300/400</t>
  </si>
  <si>
    <t>Труба L=1000мм</t>
  </si>
  <si>
    <t>Тройник с К/О  90гр</t>
  </si>
  <si>
    <t>Четверник с К/О 90гр</t>
  </si>
  <si>
    <t>Заглушка опорная</t>
  </si>
  <si>
    <t>Шибер выдвижной</t>
  </si>
  <si>
    <t>Оголовок-конус</t>
  </si>
  <si>
    <t>Зонт-конус</t>
  </si>
  <si>
    <t xml:space="preserve"> </t>
  </si>
  <si>
    <r>
      <rPr>
        <b/>
        <sz val="18"/>
        <color rgb="FF000000"/>
        <rFont val="Calibri"/>
        <charset val="134"/>
      </rPr>
      <t xml:space="preserve">Наружный кожух — </t>
    </r>
    <r>
      <rPr>
        <b/>
        <sz val="18"/>
        <color rgb="FF000000"/>
        <rFont val="Calibri"/>
        <charset val="134"/>
      </rPr>
      <t>Нержавеющая сталь AISI 430 (толщина 0,5мм)</t>
    </r>
  </si>
  <si>
    <t>Дефлектор-конус</t>
  </si>
  <si>
    <r>
      <rPr>
        <b/>
        <sz val="18"/>
        <color rgb="FF000000"/>
        <rFont val="Calibri"/>
        <charset val="134"/>
      </rPr>
      <t xml:space="preserve">Внутренняя труба — </t>
    </r>
    <r>
      <rPr>
        <b/>
        <sz val="18"/>
        <color rgb="FF000000"/>
        <rFont val="Calibri"/>
        <charset val="134"/>
      </rPr>
      <t>Нержавеющая сталь AISI 430 (толщина 0,5мм)</t>
    </r>
  </si>
  <si>
    <r>
      <rPr>
        <b/>
        <sz val="18"/>
        <color rgb="FF000000"/>
        <rFont val="Calibri"/>
        <charset val="134"/>
      </rPr>
      <t xml:space="preserve">Наружный кожух — </t>
    </r>
    <r>
      <rPr>
        <b/>
        <sz val="18"/>
        <color rgb="FF000000"/>
        <rFont val="Calibri"/>
        <charset val="134"/>
      </rPr>
      <t>Оцинковка</t>
    </r>
  </si>
  <si>
    <r>
      <rPr>
        <b/>
        <sz val="18"/>
        <color rgb="FF000000"/>
        <rFont val="Calibri"/>
        <charset val="134"/>
      </rPr>
      <t xml:space="preserve">Внутренняя труба — Нержавеющая сталь </t>
    </r>
    <r>
      <rPr>
        <b/>
        <sz val="18"/>
        <color rgb="FF000000"/>
        <rFont val="Calibri"/>
        <charset val="134"/>
      </rPr>
      <t>AISI 430</t>
    </r>
    <r>
      <rPr>
        <b/>
        <sz val="18"/>
        <color rgb="FF000000"/>
        <rFont val="Calibri"/>
        <charset val="134"/>
      </rPr>
      <t xml:space="preserve"> (толщина 0,8мм)</t>
    </r>
  </si>
  <si>
    <t>Шибер выдв 0,5/0,8</t>
  </si>
  <si>
    <t>Шибер выдв 0,8/0,8</t>
  </si>
  <si>
    <t xml:space="preserve">Шибер поворотный </t>
  </si>
  <si>
    <r>
      <rPr>
        <b/>
        <sz val="18"/>
        <color rgb="FF000000"/>
        <rFont val="Calibri"/>
        <charset val="134"/>
      </rPr>
      <t xml:space="preserve">Внутренняя труба — Нержавеющая сталь </t>
    </r>
    <r>
      <rPr>
        <b/>
        <sz val="18"/>
        <color rgb="FF000000"/>
        <rFont val="Calibri"/>
        <charset val="134"/>
      </rPr>
      <t>AISI 430</t>
    </r>
    <r>
      <rPr>
        <b/>
        <sz val="18"/>
        <color rgb="FF000000"/>
        <rFont val="Calibri"/>
        <charset val="134"/>
      </rPr>
      <t xml:space="preserve"> (толщина 0,5мм)</t>
    </r>
  </si>
  <si>
    <t>Внутренняя труба — Нержавеющая сталь AISI 430 (толщина 0,8мм)</t>
  </si>
  <si>
    <t>Внутренняя труба — Нержавеющая сталь AISI 304 (толщина 0,5мм)</t>
  </si>
  <si>
    <t>Наружный кожух — Оцинковка</t>
  </si>
  <si>
    <t>Внутренняя труба — Нержавеющая сталь AISI 304 (толщина 0,8мм)</t>
  </si>
  <si>
    <t>Наружный кожух — Нержавеющая сталь AISI 430 (толщина 0,5мм)</t>
  </si>
  <si>
    <t>Наружный кожух — Нержавеющая сталь AISI 304 (толщина 0,5мм)</t>
  </si>
  <si>
    <t>Внутренняя труба — Нержавеющая сталь AISI 321 (толщина 0,5мм)</t>
  </si>
  <si>
    <t>Внутренняя труба — Нержавеющая сталь AISI 321 (толщина 0,8мм)</t>
  </si>
  <si>
    <t>Труба L=1000 мм</t>
  </si>
  <si>
    <t>Отвод 90 градусов</t>
  </si>
  <si>
    <t>Отвод 45 градусов</t>
  </si>
  <si>
    <t>Шибер выдв 0,8</t>
  </si>
  <si>
    <t>Внутренняя труба — Нержавеющая сталь AISI 316 (толщина 0,5мм)</t>
  </si>
  <si>
    <t>Внутренняя труба — Нержавеющая сталь AISI 316 (толщина 0,8мм)</t>
  </si>
  <si>
    <t>30мм</t>
  </si>
  <si>
    <t>Внутренняя труба — ОЦИНКОВКА</t>
  </si>
  <si>
    <t>Наружный кожух — ОЦИНКОВКА</t>
  </si>
  <si>
    <t>Изоляция — Rockwool Wired Mat 105 (толщина 30мм)</t>
  </si>
  <si>
    <t>Ø 100/160</t>
  </si>
  <si>
    <t>Ø 110/170</t>
  </si>
  <si>
    <t>Ø 120/180</t>
  </si>
  <si>
    <t>Ø 130/190</t>
  </si>
  <si>
    <t>Ø 140/200</t>
  </si>
  <si>
    <t>Ø 150/210</t>
  </si>
  <si>
    <t>Ø 160/220</t>
  </si>
  <si>
    <t>Ø 180/240</t>
  </si>
  <si>
    <t>Ø 200/260</t>
  </si>
  <si>
    <t>Ø 250/310</t>
  </si>
  <si>
    <t>Ø 280/340</t>
  </si>
  <si>
    <t>Ø 300/360</t>
  </si>
  <si>
    <t>Внутренняя труба — Оцинковка</t>
  </si>
  <si>
    <t>Внутренняя труба — Нержавеющая сталь AISI 430 (толщина 0,5мм)</t>
  </si>
  <si>
    <t>Внутренняя труба — Нержавеющая сталь AISI 430 (толщина 0,5 мм)</t>
  </si>
  <si>
    <t>Наружный кожух — Нержавеющая сталь AISI 430 (толщина 0,5 мм)</t>
  </si>
  <si>
    <t>Внутренняя труба — Нержавеющая сталь AISI 430 (толщина 0,8 мм)</t>
  </si>
  <si>
    <t>Внутренняя труба — Нержавеющая сталь AISI 304 (толщина 0,5 мм)</t>
  </si>
  <si>
    <t>Внутренняя труба — Нержавеющая сталь AISI 304 (толщина 0,8 мм)</t>
  </si>
  <si>
    <t>Внутренняя труба — Нержавеющая сталь AISI 321 (толщина 0,5 мм)</t>
  </si>
  <si>
    <t>Внутренняя труба — Нержавеющая сталь AISI 321 (толщина 0,8 мм)</t>
  </si>
  <si>
    <t>Внутренняя труба — Нержавеющая сталь AISI 316 (толщина 0,5 мм)</t>
  </si>
  <si>
    <t>Внутренняя труба — Нержавеющая сталь AISI 316 (толщина 0,8 мм)</t>
  </si>
  <si>
    <t>Изоляция — Каолиновая вата (толщина 50мм)</t>
  </si>
  <si>
    <t>25мм</t>
  </si>
  <si>
    <t>Изоляция — Каолиновая вата (толщина 25мм)</t>
  </si>
  <si>
    <t>Ø 100/150</t>
  </si>
  <si>
    <t>Ø 110/160</t>
  </si>
  <si>
    <t>Ø 120/170</t>
  </si>
  <si>
    <t>Ø 130/180</t>
  </si>
  <si>
    <t>Ø 140/190</t>
  </si>
  <si>
    <t>Ø 150/200</t>
  </si>
  <si>
    <t>Ø 160/210</t>
  </si>
  <si>
    <t>Ø 180/230</t>
  </si>
  <si>
    <t>Ø 200/250</t>
  </si>
  <si>
    <t>Ø 250/300</t>
  </si>
  <si>
    <t>Ø 280/330</t>
  </si>
  <si>
    <t>Ø 300/350</t>
  </si>
  <si>
    <t>Розничный прайс-лист на продукцию ООО "Дымоход - Трейд плюс " от 01.01.2024</t>
  </si>
  <si>
    <t>Проходной узел кровли</t>
  </si>
  <si>
    <t>500*500</t>
  </si>
  <si>
    <t>600*600</t>
  </si>
  <si>
    <t>800*800</t>
  </si>
  <si>
    <t>1000*800</t>
  </si>
  <si>
    <t>1000*1000</t>
  </si>
  <si>
    <t>100-125</t>
  </si>
  <si>
    <t>130-155</t>
  </si>
  <si>
    <t>160-185</t>
  </si>
  <si>
    <t>190-210</t>
  </si>
  <si>
    <t>215-245</t>
  </si>
  <si>
    <t>250-275</t>
  </si>
  <si>
    <t>280-300</t>
  </si>
  <si>
    <t>305-350</t>
  </si>
  <si>
    <t>350-400</t>
  </si>
  <si>
    <t>Оцинковка</t>
  </si>
  <si>
    <t>Нерж 304</t>
  </si>
  <si>
    <t>Нерж 430</t>
  </si>
  <si>
    <t>Проходной стакан</t>
  </si>
  <si>
    <t>500*500 гильза Д400</t>
  </si>
  <si>
    <t>600*600 гильза Д400</t>
  </si>
  <si>
    <t>700*700 гильза Д450</t>
  </si>
  <si>
    <t>Ø 100-200</t>
  </si>
  <si>
    <t>Ø 210-280</t>
  </si>
  <si>
    <t>Ø 300-400</t>
  </si>
  <si>
    <t>Комплект Ваты в стакан 1000 руб</t>
  </si>
  <si>
    <t>Фланец Декоративный</t>
  </si>
  <si>
    <t>500*650</t>
  </si>
  <si>
    <t>650*650</t>
  </si>
  <si>
    <t>600*750</t>
  </si>
  <si>
    <t>700*700</t>
  </si>
  <si>
    <t>750*750</t>
  </si>
  <si>
    <t>800*850</t>
  </si>
  <si>
    <t>800*1000</t>
  </si>
  <si>
    <t>Оцинковка под углом</t>
  </si>
  <si>
    <t>Нерж 304 под углом</t>
  </si>
  <si>
    <t>Нерж 430 под углом</t>
  </si>
  <si>
    <t>Лист</t>
  </si>
  <si>
    <t>900*900</t>
  </si>
  <si>
    <t>1000*1500</t>
  </si>
  <si>
    <t>1000*2000</t>
  </si>
  <si>
    <t>По фланцу</t>
  </si>
  <si>
    <t xml:space="preserve">Консоль универсальная </t>
  </si>
  <si>
    <t>Консоль табурет</t>
  </si>
  <si>
    <t>Консоль телескопическая</t>
  </si>
  <si>
    <t>Хомут  в перекрытие/силовой</t>
  </si>
  <si>
    <t>до 930мм до Д350</t>
  </si>
  <si>
    <t>400-850мм</t>
  </si>
  <si>
    <t>до 930мм</t>
  </si>
  <si>
    <t>до Д300</t>
  </si>
  <si>
    <t>до 1200/Д500</t>
  </si>
  <si>
    <t>900-2000</t>
  </si>
  <si>
    <t>900-1200</t>
  </si>
  <si>
    <t>от Д300</t>
  </si>
  <si>
    <t>Минерит</t>
  </si>
  <si>
    <t>Фаспан АНТИФЛЕЙМ</t>
  </si>
  <si>
    <t xml:space="preserve">Везувий Фаспан </t>
  </si>
  <si>
    <t>РАСПОРКИ по 1000р</t>
  </si>
  <si>
    <t>1200*630*9</t>
  </si>
  <si>
    <t>1200*600*9</t>
  </si>
  <si>
    <t>1200*800*9</t>
  </si>
  <si>
    <t>1200*1200*9</t>
  </si>
  <si>
    <t>1200*600*8</t>
  </si>
  <si>
    <t>1200*800*8</t>
  </si>
  <si>
    <t>1200*1200*8</t>
  </si>
  <si>
    <t>Grillux Лист притопочный</t>
  </si>
  <si>
    <t>1000* 800</t>
  </si>
  <si>
    <t>бронза
медь
 черный</t>
  </si>
  <si>
    <t xml:space="preserve">R641 </t>
  </si>
  <si>
    <t>1000* 1000</t>
  </si>
  <si>
    <t>1200* 1200</t>
  </si>
  <si>
    <t>Радиальный  900* 800</t>
  </si>
  <si>
    <t>R641</t>
  </si>
  <si>
    <t>обычный</t>
  </si>
  <si>
    <t>Grillux Лист угловой-призматический</t>
  </si>
  <si>
    <t>Grillux Лист угловой</t>
  </si>
  <si>
    <t>1100*1100</t>
  </si>
  <si>
    <t>1095*700</t>
  </si>
  <si>
    <t>Черный</t>
  </si>
  <si>
    <t>медь</t>
  </si>
  <si>
    <t>Бронза</t>
  </si>
  <si>
    <t>Площадка</t>
  </si>
  <si>
    <t>304(0.5) 430(0.8)</t>
  </si>
  <si>
    <t>321(0.5) 430(0.8)</t>
  </si>
  <si>
    <t>316(0.5) 430(0.8)</t>
  </si>
  <si>
    <t>КОМПЛЕКТЫ ЭКОНОМ</t>
  </si>
  <si>
    <t>Комплект Эконом №1</t>
  </si>
  <si>
    <t>Д115/215</t>
  </si>
  <si>
    <t>Д120/220</t>
  </si>
  <si>
    <t>Д150/250</t>
  </si>
  <si>
    <t>Труба 1000мм нерж 304(0.8)</t>
  </si>
  <si>
    <t>1 шт</t>
  </si>
  <si>
    <t>Шибер поворотный нерж 304(0.8)</t>
  </si>
  <si>
    <t xml:space="preserve">Заглушка опорная нерж 304(0.5)/Оц  </t>
  </si>
  <si>
    <t xml:space="preserve">Сэндвич 1000мм нерж 304(0.5)/ОЦ   </t>
  </si>
  <si>
    <t>3 шт</t>
  </si>
  <si>
    <t xml:space="preserve">Фланцы 600*600 Оц                                  </t>
  </si>
  <si>
    <t>2 шт</t>
  </si>
  <si>
    <t xml:space="preserve">Мастер флеш №2                                     </t>
  </si>
  <si>
    <t xml:space="preserve">Зонт-конус нерж 304(0.5)/ОЦ                  </t>
  </si>
  <si>
    <t>Комплект Эконом №2</t>
  </si>
  <si>
    <t>Шибер выдвижной нерж 304(0.8)</t>
  </si>
  <si>
    <t>Заглушка опорная нерж 304(0.8)/Оц</t>
  </si>
  <si>
    <t xml:space="preserve">Фланцы 600*600 Оц                         </t>
  </si>
  <si>
    <t>Сэндвич-труба 500мм нерж 304(0.8)/ОЦ</t>
  </si>
  <si>
    <t xml:space="preserve">Тройник с к/о нерж 304(0.5)/ОЦ    </t>
  </si>
  <si>
    <t>1шт</t>
  </si>
  <si>
    <t xml:space="preserve">Площадка под тройник 304(0.5)430  </t>
  </si>
  <si>
    <t xml:space="preserve">Сэндвич 1000мм нерж 304(0.5)/ОЦ  </t>
  </si>
  <si>
    <t>3шт</t>
  </si>
  <si>
    <t xml:space="preserve">Консоль Универсальная                 </t>
  </si>
  <si>
    <t>2шт</t>
  </si>
  <si>
    <t xml:space="preserve">Хомут силовой для консоли 430(0.8)   </t>
  </si>
  <si>
    <t xml:space="preserve">Зонт-конус нерж 304(0.5)/ОЦ         </t>
  </si>
  <si>
    <t>Комплект Эконом №3</t>
  </si>
  <si>
    <t xml:space="preserve">Труба 1000мм нерж 304(0.8) </t>
  </si>
  <si>
    <t>Заглушка опорная нерж 304(0.5)/Оц</t>
  </si>
  <si>
    <t xml:space="preserve">Сэндвич 1000мм нерж 304(0.5)/ОЦ    </t>
  </si>
  <si>
    <t>6шт</t>
  </si>
  <si>
    <t xml:space="preserve">Фланцы 600*600 Оц                   </t>
  </si>
  <si>
    <t>4шт</t>
  </si>
  <si>
    <t xml:space="preserve">Мастер флеш №2     </t>
  </si>
  <si>
    <t xml:space="preserve">Зонт-конус нерж 304(0.5)/ОЦ </t>
  </si>
  <si>
    <t>Комплект Эконом №4</t>
  </si>
  <si>
    <t xml:space="preserve">Заглушка опорная нерж 304(0.8)/Оц  </t>
  </si>
  <si>
    <t xml:space="preserve">Фланцы 600*600 Оц  </t>
  </si>
  <si>
    <t xml:space="preserve">Сэндвич-труба 500мм нерж 304(0.8)/ОЦ </t>
  </si>
  <si>
    <t xml:space="preserve">Тройник с к/о нерж 304(0.5)/ОЦ   </t>
  </si>
  <si>
    <t>Площадка под тройник 304(0.5)430</t>
  </si>
  <si>
    <t>Сэндвич 1000мм нерж 304(0.5)/ОЦ</t>
  </si>
  <si>
    <t xml:space="preserve">Консоль Универсальная </t>
  </si>
  <si>
    <t>Хомут силовой для консоли 430(0.8)</t>
  </si>
  <si>
    <t xml:space="preserve">Зонт-конус нерж 304(0.5)/ОЦ      </t>
  </si>
  <si>
    <t xml:space="preserve"> Комплект Стандарт</t>
  </si>
  <si>
    <t>Комплект Стандарт №1</t>
  </si>
  <si>
    <t>Заглушка опорная нерж 304(0.8)/430</t>
  </si>
  <si>
    <t>Сэндвич 1000мм нерж 304(0.8)/430</t>
  </si>
  <si>
    <t>Сэндвич 1000мм нерж 304(0.5)/430</t>
  </si>
  <si>
    <t>Проходной стакан 430/Оц</t>
  </si>
  <si>
    <t>УПК под углом нерж 430</t>
  </si>
  <si>
    <t>Дефлектор-конус  304(0.5)/430</t>
  </si>
  <si>
    <t>Фланец 600*700 под углом 430</t>
  </si>
  <si>
    <t>Комплект Стандарт №2</t>
  </si>
  <si>
    <t>Сэндвич-труба 500мм нерж 304(0.8)/430</t>
  </si>
  <si>
    <t>Тройник с к/о нерж 304(0.8)/430</t>
  </si>
  <si>
    <t>Консоль универсальная</t>
  </si>
  <si>
    <t>Площадка опорная под тройник</t>
  </si>
  <si>
    <t>Сэндвич-труба 1000мм нерж 304(0.8)/430</t>
  </si>
  <si>
    <t>Сэндвич-труба 1000мм нерж 304(0.5)/430</t>
  </si>
  <si>
    <t xml:space="preserve">Зонт-конус нерж 304(0.5)/430 </t>
  </si>
  <si>
    <t>Комплект Стандарт №3</t>
  </si>
  <si>
    <t>Комплект Стандарт №4</t>
  </si>
  <si>
    <t>Комплект Премиум</t>
  </si>
  <si>
    <t>Комплект Премиум №1</t>
  </si>
  <si>
    <t>Труба 1000мм нерж 321(0.8)</t>
  </si>
  <si>
    <t>Шибер поворотный   нерж 321(0.8)</t>
  </si>
  <si>
    <t>Заглушка опорная нерж 321(0.8)/430</t>
  </si>
  <si>
    <t>Сэндвич-труба 1000м нерж 321(0.8)/430</t>
  </si>
  <si>
    <t>Проходной стакан с ватой 430</t>
  </si>
  <si>
    <t>Дефлектор-конус-конус  304(0.5)/430</t>
  </si>
  <si>
    <t>Фланец 700*700  под углом 430</t>
  </si>
  <si>
    <t>Комплект Премиум №2</t>
  </si>
  <si>
    <t>Шибер поворотный нерж 321(0.8)</t>
  </si>
  <si>
    <t>Сэндвич-труба 500мм нерж 321(0.8)/430</t>
  </si>
  <si>
    <t>Проходной стакан с ваты 430</t>
  </si>
  <si>
    <t>Тройник с к/о нерж 321(0.8)/430</t>
  </si>
  <si>
    <t>Консоль  универсальная</t>
  </si>
  <si>
    <t>Площадка опорная под тройник нерж 321(0.5)/430</t>
  </si>
  <si>
    <t>Комплект Премиум №3</t>
  </si>
  <si>
    <t>Сэндвич-труба 1000мм нерж 321(0.8)/430</t>
  </si>
  <si>
    <t>Сэндвич-труба 1000мм нерж 321(0,5)/430</t>
  </si>
  <si>
    <t>Проходной стакан 600*600 с ватой 430</t>
  </si>
  <si>
    <t>Комплект Премиум №4</t>
  </si>
  <si>
    <t>Сэндвич-труба 1000м нерж 321(0.5)/430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</si>
</sst>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46">
    <font>
      <sz val="11"/>
      <color theme="1"/>
      <name val="Calibri"/>
      <charset val="134"/>
      <scheme val="minor"/>
    </font>
    <font>
      <b/>
      <sz val="15"/>
      <color rgb="FFFF0000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b/>
      <sz val="17"/>
      <color theme="1"/>
      <name val="Calibri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b/>
      <sz val="12"/>
      <color theme="1"/>
      <name val="Arial"/>
      <charset val="134"/>
    </font>
    <font>
      <b/>
      <sz val="18"/>
      <color theme="1"/>
      <name val="Calibri"/>
      <charset val="134"/>
    </font>
    <font>
      <sz val="8"/>
      <color theme="1"/>
      <name val="Calibri"/>
      <charset val="134"/>
    </font>
    <font>
      <b/>
      <sz val="50"/>
      <color rgb="FFFF0000"/>
      <name val="Calibri"/>
      <charset val="134"/>
    </font>
    <font>
      <b/>
      <sz val="15"/>
      <color theme="1"/>
      <name val="Calibri"/>
      <charset val="134"/>
    </font>
    <font>
      <b/>
      <sz val="12"/>
      <color theme="1"/>
      <name val="Calibri"/>
      <charset val="134"/>
    </font>
    <font>
      <b/>
      <sz val="16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8"/>
      <color theme="1"/>
      <name val="Calibri"/>
      <charset val="134"/>
    </font>
    <font>
      <b/>
      <sz val="18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theme="1"/>
      <name val="Calibri"/>
      <charset val="134"/>
    </font>
    <font>
      <b/>
      <sz val="11"/>
      <color rgb="FF000000"/>
      <name val="Calibri"/>
      <charset val="134"/>
    </font>
    <font>
      <b/>
      <sz val="20"/>
      <color rgb="FFFF0000"/>
      <name val="Calibri"/>
      <charset val="134"/>
    </font>
    <font>
      <sz val="14"/>
      <color theme="1"/>
      <name val="Calibri"/>
      <charset val="134"/>
    </font>
    <font>
      <b/>
      <sz val="15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19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7" fillId="10" borderId="19" applyNumberFormat="0" applyAlignment="0" applyProtection="0">
      <alignment vertical="center"/>
    </xf>
    <xf numFmtId="0" fontId="38" fillId="11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</cellStyleXfs>
  <cellXfs count="14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top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3" fillId="0" borderId="0" xfId="0" applyNumberFormat="1" applyFont="1"/>
    <xf numFmtId="0" fontId="2" fillId="0" borderId="6" xfId="0" applyFont="1" applyBorder="1"/>
    <xf numFmtId="0" fontId="3" fillId="0" borderId="0" xfId="0" applyFont="1"/>
    <xf numFmtId="0" fontId="2" fillId="0" borderId="4" xfId="0" applyFont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2" borderId="0" xfId="0" applyFont="1" applyFill="1" applyBorder="1" applyAlignment="1">
      <alignment horizontal="left" vertical="center"/>
    </xf>
    <xf numFmtId="0" fontId="2" fillId="0" borderId="0" xfId="0" applyFont="1" applyBorder="1"/>
    <xf numFmtId="0" fontId="3" fillId="0" borderId="0" xfId="0" applyFont="1" applyAlignment="1">
      <alignment wrapText="1"/>
    </xf>
    <xf numFmtId="0" fontId="8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2" xfId="0" applyFont="1" applyBorder="1"/>
    <xf numFmtId="0" fontId="6" fillId="0" borderId="8" xfId="0" applyFont="1" applyBorder="1" applyAlignment="1">
      <alignment horizont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wrapText="1"/>
    </xf>
    <xf numFmtId="0" fontId="3" fillId="0" borderId="10" xfId="0" applyFont="1" applyBorder="1" applyAlignment="1">
      <alignment wrapText="1"/>
    </xf>
    <xf numFmtId="0" fontId="6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wrapText="1"/>
    </xf>
    <xf numFmtId="1" fontId="8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" fontId="6" fillId="0" borderId="8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wrapText="1"/>
    </xf>
    <xf numFmtId="1" fontId="6" fillId="0" borderId="5" xfId="0" applyNumberFormat="1" applyFont="1" applyBorder="1" applyAlignment="1">
      <alignment horizont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6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5" xfId="0" applyFont="1" applyBorder="1"/>
    <xf numFmtId="0" fontId="3" fillId="0" borderId="7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1" fontId="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0" fontId="11" fillId="5" borderId="1" xfId="0" applyFont="1" applyFill="1" applyBorder="1" applyAlignme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/>
    <xf numFmtId="0" fontId="9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1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3" fillId="0" borderId="0" xfId="0" applyFont="1" applyAlignment="1">
      <alignment horizontal="center"/>
    </xf>
    <xf numFmtId="0" fontId="19" fillId="0" borderId="0" xfId="0" applyFont="1"/>
    <xf numFmtId="0" fontId="11" fillId="0" borderId="0" xfId="0" applyFont="1" applyAlignment="1"/>
    <xf numFmtId="0" fontId="9" fillId="0" borderId="3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1" fontId="20" fillId="0" borderId="5" xfId="0" applyNumberFormat="1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2" fillId="0" borderId="5" xfId="0" applyNumberFormat="1" applyFont="1" applyBorder="1" applyAlignment="1">
      <alignment horizontal="center" vertical="center"/>
    </xf>
    <xf numFmtId="1" fontId="22" fillId="0" borderId="5" xfId="0" applyNumberFormat="1" applyFont="1" applyBorder="1" applyAlignment="1">
      <alignment horizontal="center"/>
    </xf>
    <xf numFmtId="1" fontId="22" fillId="0" borderId="4" xfId="0" applyNumberFormat="1" applyFont="1" applyBorder="1" applyAlignment="1">
      <alignment horizontal="center"/>
    </xf>
    <xf numFmtId="0" fontId="21" fillId="0" borderId="8" xfId="0" applyFont="1" applyBorder="1" applyAlignment="1">
      <alignment horizontal="left" vertical="center" wrapText="1"/>
    </xf>
    <xf numFmtId="1" fontId="15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180" fontId="4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9" fillId="4" borderId="5" xfId="0" applyFont="1" applyFill="1" applyBorder="1" applyAlignment="1">
      <alignment vertical="center" wrapText="1"/>
    </xf>
    <xf numFmtId="1" fontId="3" fillId="4" borderId="5" xfId="0" applyNumberFormat="1" applyFont="1" applyFill="1" applyBorder="1" applyAlignment="1">
      <alignment horizontal="center" vertical="center"/>
    </xf>
    <xf numFmtId="1" fontId="9" fillId="4" borderId="5" xfId="0" applyNumberFormat="1" applyFont="1" applyFill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/>
    </xf>
    <xf numFmtId="1" fontId="23" fillId="0" borderId="5" xfId="0" applyNumberFormat="1" applyFont="1" applyBorder="1" applyAlignment="1">
      <alignment horizontal="center" vertical="center"/>
    </xf>
    <xf numFmtId="0" fontId="9" fillId="4" borderId="7" xfId="0" applyFont="1" applyFill="1" applyBorder="1" applyAlignment="1">
      <alignment vertical="center" wrapText="1"/>
    </xf>
    <xf numFmtId="0" fontId="11" fillId="6" borderId="1" xfId="0" applyFont="1" applyFill="1" applyBorder="1" applyAlignment="1"/>
    <xf numFmtId="0" fontId="14" fillId="7" borderId="1" xfId="0" applyFont="1" applyFill="1" applyBorder="1"/>
    <xf numFmtId="0" fontId="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5" fillId="0" borderId="0" xfId="0" applyFont="1"/>
    <xf numFmtId="1" fontId="4" fillId="0" borderId="4" xfId="0" applyNumberFormat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" fontId="23" fillId="0" borderId="5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4" fillId="0" borderId="0" xfId="0" applyFont="1" applyAlignment="1">
      <alignment horizontal="left" vertical="center"/>
    </xf>
    <xf numFmtId="0" fontId="23" fillId="0" borderId="5" xfId="0" applyFont="1" applyBorder="1" applyAlignment="1">
      <alignment vertical="top" wrapText="1"/>
    </xf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23" fillId="4" borderId="5" xfId="0" applyFont="1" applyFill="1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45</xdr:row>
      <xdr:rowOff>19050</xdr:rowOff>
    </xdr:from>
    <xdr:ext cx="923925" cy="771525"/>
    <xdr:pic>
      <xdr:nvPicPr>
        <xdr:cNvPr id="2" name="image4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9363075"/>
          <a:ext cx="923925" cy="771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45</xdr:row>
      <xdr:rowOff>19050</xdr:rowOff>
    </xdr:from>
    <xdr:ext cx="1028700" cy="781050"/>
    <xdr:pic>
      <xdr:nvPicPr>
        <xdr:cNvPr id="3" name="image1.jp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380490" y="9363075"/>
          <a:ext cx="1028700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45</xdr:row>
      <xdr:rowOff>19050</xdr:rowOff>
    </xdr:from>
    <xdr:ext cx="933450" cy="866775"/>
    <xdr:pic>
      <xdr:nvPicPr>
        <xdr:cNvPr id="4" name="image2.jp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3201670" y="9363075"/>
          <a:ext cx="933450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45</xdr:row>
      <xdr:rowOff>66675</xdr:rowOff>
    </xdr:from>
    <xdr:ext cx="552450" cy="781050"/>
    <xdr:pic>
      <xdr:nvPicPr>
        <xdr:cNvPr id="5" name="image3.jp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6141085" y="9410700"/>
          <a:ext cx="552450" cy="781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002"/>
  <sheetViews>
    <sheetView tabSelected="1" workbookViewId="0">
      <selection activeCell="A1" sqref="A1:P1"/>
    </sheetView>
  </sheetViews>
  <sheetFormatPr defaultColWidth="14.4259259259259" defaultRowHeight="15" customHeight="1"/>
  <cols>
    <col min="1" max="1" width="21.287037037037" customWidth="1"/>
    <col min="2" max="4" width="7.86111111111111" customWidth="1"/>
    <col min="5" max="9" width="8.28703703703704" customWidth="1"/>
    <col min="10" max="16" width="9" customWidth="1"/>
    <col min="17" max="17" width="8.28703703703704" customWidth="1"/>
  </cols>
  <sheetData>
    <row r="1" ht="24" customHeight="1" spans="1:17">
      <c r="A1" s="12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 spans="1:17">
      <c r="A2" s="122"/>
      <c r="B2" s="15"/>
      <c r="C2" s="15"/>
      <c r="D2" s="15"/>
      <c r="E2" s="15"/>
      <c r="F2" s="15"/>
      <c r="G2" s="15"/>
      <c r="H2" s="15"/>
      <c r="I2" s="15"/>
      <c r="J2" s="51"/>
      <c r="K2" s="15"/>
      <c r="L2" s="15"/>
      <c r="M2" s="15"/>
      <c r="N2" s="51"/>
      <c r="O2" s="15"/>
      <c r="P2" s="15"/>
    </row>
    <row r="3" ht="26.25" customHeight="1" spans="1:17">
      <c r="A3" s="123" t="s">
        <v>1</v>
      </c>
    </row>
    <row r="4" ht="26.25" customHeight="1" spans="1:17">
      <c r="A4" s="124"/>
      <c r="B4" s="125" t="s">
        <v>2</v>
      </c>
      <c r="C4" s="125" t="s">
        <v>3</v>
      </c>
      <c r="D4" s="125" t="s">
        <v>4</v>
      </c>
      <c r="E4" s="125" t="s">
        <v>5</v>
      </c>
      <c r="F4" s="125" t="s">
        <v>6</v>
      </c>
      <c r="G4" s="125" t="s">
        <v>7</v>
      </c>
      <c r="H4" s="125" t="s">
        <v>8</v>
      </c>
      <c r="I4" s="125" t="s">
        <v>9</v>
      </c>
      <c r="J4" s="125" t="s">
        <v>10</v>
      </c>
      <c r="K4" s="125" t="s">
        <v>11</v>
      </c>
      <c r="L4" s="125" t="s">
        <v>12</v>
      </c>
      <c r="M4" s="125" t="s">
        <v>13</v>
      </c>
      <c r="N4" s="125" t="s">
        <v>14</v>
      </c>
      <c r="O4" s="125" t="s">
        <v>15</v>
      </c>
      <c r="P4" s="125" t="s">
        <v>16</v>
      </c>
      <c r="Q4" s="126"/>
    </row>
    <row r="5" ht="20.25" customHeight="1" spans="1:17">
      <c r="A5" s="115" t="s">
        <v>17</v>
      </c>
      <c r="B5" s="127">
        <v>737</v>
      </c>
      <c r="C5" s="127">
        <v>782.1</v>
      </c>
      <c r="D5" s="128">
        <v>845.9</v>
      </c>
      <c r="E5" s="127">
        <v>885.5</v>
      </c>
      <c r="F5" s="127">
        <v>937.2</v>
      </c>
      <c r="G5" s="128">
        <v>1009.8</v>
      </c>
      <c r="H5" s="127">
        <v>1080.2</v>
      </c>
      <c r="I5" s="127">
        <v>1186.9</v>
      </c>
      <c r="J5" s="128">
        <v>1336.5</v>
      </c>
      <c r="K5" s="127">
        <v>1426.7</v>
      </c>
      <c r="L5" s="127">
        <v>1482.8</v>
      </c>
      <c r="M5" s="127">
        <v>1554.3</v>
      </c>
      <c r="N5" s="128">
        <v>1645.6</v>
      </c>
      <c r="O5" s="127">
        <v>1910.7</v>
      </c>
      <c r="P5" s="127">
        <v>2085.6</v>
      </c>
    </row>
    <row r="6" ht="20.25" customHeight="1" spans="1:17">
      <c r="A6" s="115" t="s">
        <v>18</v>
      </c>
      <c r="B6" s="129">
        <v>599.5</v>
      </c>
      <c r="C6" s="129">
        <v>634.7</v>
      </c>
      <c r="D6" s="130">
        <v>711.7</v>
      </c>
      <c r="E6" s="129">
        <v>750.2</v>
      </c>
      <c r="F6" s="129">
        <v>805.2</v>
      </c>
      <c r="G6" s="130">
        <v>847</v>
      </c>
      <c r="H6" s="129">
        <v>895.4</v>
      </c>
      <c r="I6" s="129">
        <v>1067</v>
      </c>
      <c r="J6" s="130">
        <v>1155</v>
      </c>
      <c r="K6" s="129">
        <v>1232</v>
      </c>
      <c r="L6" s="129">
        <v>1293.6</v>
      </c>
      <c r="M6" s="129">
        <v>1379.4</v>
      </c>
      <c r="N6" s="130">
        <v>1482.8</v>
      </c>
      <c r="O6" s="129">
        <v>1558.7</v>
      </c>
      <c r="P6" s="129">
        <v>1732.5</v>
      </c>
    </row>
    <row r="7" ht="20.25" customHeight="1" spans="1:17">
      <c r="A7" s="115" t="s">
        <v>19</v>
      </c>
      <c r="B7" s="129">
        <v>463.1</v>
      </c>
      <c r="C7" s="129">
        <v>517</v>
      </c>
      <c r="D7" s="130">
        <v>563.2</v>
      </c>
      <c r="E7" s="129">
        <v>599.5</v>
      </c>
      <c r="F7" s="129">
        <v>691.9</v>
      </c>
      <c r="G7" s="130">
        <v>731.5</v>
      </c>
      <c r="H7" s="129">
        <v>782.1</v>
      </c>
      <c r="I7" s="129">
        <v>847</v>
      </c>
      <c r="J7" s="130">
        <v>924</v>
      </c>
      <c r="K7" s="129">
        <v>1001</v>
      </c>
      <c r="L7" s="129">
        <v>1039.5</v>
      </c>
      <c r="M7" s="129">
        <v>1078</v>
      </c>
      <c r="N7" s="130">
        <v>1162.7</v>
      </c>
      <c r="O7" s="129">
        <v>1309</v>
      </c>
      <c r="P7" s="129">
        <v>1424.5</v>
      </c>
    </row>
    <row r="8" ht="20.25" customHeight="1" spans="1:17">
      <c r="A8" s="115" t="s">
        <v>20</v>
      </c>
      <c r="B8" s="129">
        <v>391.6</v>
      </c>
      <c r="C8" s="129">
        <v>427.9</v>
      </c>
      <c r="D8" s="130">
        <v>492.8</v>
      </c>
      <c r="E8" s="129">
        <v>531.3</v>
      </c>
      <c r="F8" s="129">
        <v>597.3</v>
      </c>
      <c r="G8" s="130">
        <v>640.2</v>
      </c>
      <c r="H8" s="129">
        <v>684.2</v>
      </c>
      <c r="I8" s="129">
        <v>748</v>
      </c>
      <c r="J8" s="130">
        <v>892.1</v>
      </c>
      <c r="K8" s="129">
        <v>902</v>
      </c>
      <c r="L8" s="129">
        <v>935</v>
      </c>
      <c r="M8" s="129">
        <v>965.8</v>
      </c>
      <c r="N8" s="130">
        <v>1100</v>
      </c>
      <c r="O8" s="129">
        <v>1202.3</v>
      </c>
      <c r="P8" s="129">
        <v>1391.5</v>
      </c>
    </row>
    <row r="9" ht="20.25" customHeight="1" spans="1:17">
      <c r="A9" s="115" t="s">
        <v>21</v>
      </c>
      <c r="B9" s="129">
        <v>383.9</v>
      </c>
      <c r="C9" s="129">
        <v>402.6</v>
      </c>
      <c r="D9" s="130">
        <v>430.1</v>
      </c>
      <c r="E9" s="129">
        <v>447.7</v>
      </c>
      <c r="F9" s="129">
        <v>468.6</v>
      </c>
      <c r="G9" s="130">
        <v>500.5</v>
      </c>
      <c r="H9" s="129">
        <v>532.4</v>
      </c>
      <c r="I9" s="129">
        <v>578.6</v>
      </c>
      <c r="J9" s="130">
        <v>691.9</v>
      </c>
      <c r="K9" s="129">
        <v>697.4</v>
      </c>
      <c r="L9" s="129">
        <v>721.6</v>
      </c>
      <c r="M9" s="129">
        <v>745.8</v>
      </c>
      <c r="N9" s="130">
        <v>848.1</v>
      </c>
      <c r="O9" s="129">
        <v>922.9</v>
      </c>
      <c r="P9" s="129">
        <v>1068.1</v>
      </c>
    </row>
    <row r="10" ht="20.25" customHeight="1" spans="1:17">
      <c r="A10" s="115" t="s">
        <v>22</v>
      </c>
      <c r="B10" s="129">
        <v>266.2</v>
      </c>
      <c r="C10" s="129">
        <v>276.1</v>
      </c>
      <c r="D10" s="130">
        <v>293.7</v>
      </c>
      <c r="E10" s="129">
        <v>303.6</v>
      </c>
      <c r="F10" s="129">
        <v>316.8</v>
      </c>
      <c r="G10" s="130">
        <v>335.5</v>
      </c>
      <c r="H10" s="129">
        <v>355.3</v>
      </c>
      <c r="I10" s="129">
        <v>383.9</v>
      </c>
      <c r="J10" s="130">
        <v>463.1</v>
      </c>
      <c r="K10" s="129">
        <v>467.5</v>
      </c>
      <c r="L10" s="129">
        <v>481.8</v>
      </c>
      <c r="M10" s="129">
        <v>496.1</v>
      </c>
      <c r="N10" s="130">
        <v>570.9</v>
      </c>
      <c r="O10" s="129">
        <v>614.9</v>
      </c>
      <c r="P10" s="129">
        <v>715</v>
      </c>
    </row>
    <row r="11" ht="20.25" customHeight="1" spans="1:17">
      <c r="A11" s="115" t="s">
        <v>23</v>
      </c>
      <c r="B11" s="129">
        <v>790.9</v>
      </c>
      <c r="C11" s="129">
        <v>885.5</v>
      </c>
      <c r="D11" s="130">
        <v>907.5</v>
      </c>
      <c r="E11" s="129">
        <v>975.7</v>
      </c>
      <c r="F11" s="129">
        <v>1006.5</v>
      </c>
      <c r="G11" s="130">
        <v>1079.1</v>
      </c>
      <c r="H11" s="129">
        <v>1201.2</v>
      </c>
      <c r="I11" s="129">
        <v>1249.6</v>
      </c>
      <c r="J11" s="130">
        <v>1417.9</v>
      </c>
      <c r="K11" s="129">
        <v>1499.3</v>
      </c>
      <c r="L11" s="129">
        <v>1564.2</v>
      </c>
      <c r="M11" s="129">
        <v>1639</v>
      </c>
      <c r="N11" s="130">
        <v>1793</v>
      </c>
      <c r="O11" s="129">
        <v>1994.3</v>
      </c>
      <c r="P11" s="129">
        <v>2179.1</v>
      </c>
    </row>
    <row r="12" ht="20.25" customHeight="1" spans="1:17">
      <c r="A12" s="115" t="s">
        <v>24</v>
      </c>
      <c r="B12" s="129">
        <v>653.4</v>
      </c>
      <c r="C12" s="129">
        <v>735.9</v>
      </c>
      <c r="D12" s="130">
        <v>808.5</v>
      </c>
      <c r="E12" s="129">
        <v>872.3</v>
      </c>
      <c r="F12" s="129">
        <v>968</v>
      </c>
      <c r="G12" s="130">
        <v>1040.6</v>
      </c>
      <c r="H12" s="129">
        <v>1162.7</v>
      </c>
      <c r="I12" s="129">
        <v>1211.1</v>
      </c>
      <c r="J12" s="130">
        <v>1379.4</v>
      </c>
      <c r="K12" s="129">
        <v>1460.8</v>
      </c>
      <c r="L12" s="129">
        <v>1525.7</v>
      </c>
      <c r="M12" s="129">
        <v>1600.5</v>
      </c>
      <c r="N12" s="130">
        <v>1754.5</v>
      </c>
      <c r="O12" s="129">
        <v>1955.8</v>
      </c>
      <c r="P12" s="129">
        <v>2140.6</v>
      </c>
    </row>
    <row r="13" ht="20.25" customHeight="1" spans="1:17">
      <c r="A13" s="131" t="s">
        <v>25</v>
      </c>
      <c r="B13" s="129">
        <v>653.4</v>
      </c>
      <c r="C13" s="129">
        <v>693</v>
      </c>
      <c r="D13" s="130">
        <v>708.4</v>
      </c>
      <c r="E13" s="129">
        <v>772.2</v>
      </c>
      <c r="F13" s="129">
        <v>776.6</v>
      </c>
      <c r="G13" s="130">
        <v>809.6</v>
      </c>
      <c r="H13" s="129">
        <v>899.8</v>
      </c>
      <c r="I13" s="129">
        <v>1071.4</v>
      </c>
      <c r="J13" s="130">
        <v>1103.3</v>
      </c>
      <c r="K13" s="129">
        <v>1179.2</v>
      </c>
      <c r="L13" s="129">
        <v>1287</v>
      </c>
      <c r="M13" s="129">
        <v>1423.4</v>
      </c>
      <c r="N13" s="130">
        <v>1699.5</v>
      </c>
      <c r="O13" s="129">
        <v>1841.4</v>
      </c>
      <c r="P13" s="129">
        <v>1926.1</v>
      </c>
    </row>
    <row r="14" ht="20.25" customHeight="1" spans="1:17">
      <c r="A14" s="116" t="s">
        <v>26</v>
      </c>
      <c r="B14" s="132">
        <v>1408</v>
      </c>
      <c r="C14" s="129">
        <v>1450.9</v>
      </c>
      <c r="D14" s="130">
        <v>1502.6</v>
      </c>
      <c r="E14" s="129">
        <v>1555.4</v>
      </c>
      <c r="F14" s="129">
        <v>1611.5</v>
      </c>
      <c r="G14" s="130">
        <v>1669.8</v>
      </c>
      <c r="H14" s="129">
        <v>1685.2</v>
      </c>
      <c r="I14" s="129">
        <v>1813.9</v>
      </c>
      <c r="J14" s="130">
        <v>1918.4</v>
      </c>
      <c r="K14" s="129">
        <v>1989.9</v>
      </c>
      <c r="L14" s="129">
        <v>2062.5</v>
      </c>
      <c r="M14" s="129">
        <v>2139.5</v>
      </c>
      <c r="N14" s="130">
        <v>2411.2</v>
      </c>
      <c r="O14" s="129">
        <v>2678.5</v>
      </c>
      <c r="P14" s="129">
        <v>3001.9</v>
      </c>
    </row>
    <row r="15" ht="20.25" customHeight="1" spans="1:17">
      <c r="A15" s="116" t="s">
        <v>27</v>
      </c>
      <c r="B15" s="132">
        <v>1593.9</v>
      </c>
      <c r="C15" s="129">
        <v>1549.9</v>
      </c>
      <c r="D15" s="130">
        <v>1620.3</v>
      </c>
      <c r="E15" s="129">
        <v>1694</v>
      </c>
      <c r="F15" s="129">
        <v>1772.1</v>
      </c>
      <c r="G15" s="130">
        <v>1853.5</v>
      </c>
      <c r="H15" s="129">
        <v>2014.1</v>
      </c>
      <c r="I15" s="129">
        <v>2202.2</v>
      </c>
      <c r="J15" s="130">
        <v>2525.6</v>
      </c>
      <c r="K15" s="129">
        <v>2637.8</v>
      </c>
      <c r="L15" s="129">
        <v>2812.7</v>
      </c>
      <c r="M15" s="129">
        <v>2942.5</v>
      </c>
      <c r="N15" s="130">
        <v>3358.3</v>
      </c>
      <c r="O15" s="129">
        <v>3815.9</v>
      </c>
      <c r="P15" s="129">
        <v>4315.3</v>
      </c>
    </row>
    <row r="16" ht="20.25" customHeight="1" spans="1:17">
      <c r="A16" s="116" t="s">
        <v>28</v>
      </c>
      <c r="B16" s="132">
        <v>2077.9</v>
      </c>
      <c r="C16" s="129">
        <v>2026.2</v>
      </c>
      <c r="D16" s="130">
        <v>2121.9</v>
      </c>
      <c r="E16" s="129">
        <v>2223.1</v>
      </c>
      <c r="F16" s="129">
        <v>2329.8</v>
      </c>
      <c r="G16" s="130">
        <v>2446.4</v>
      </c>
      <c r="H16" s="129">
        <v>2671.9</v>
      </c>
      <c r="I16" s="129">
        <v>2953.5</v>
      </c>
      <c r="J16" s="130">
        <v>3406.7</v>
      </c>
      <c r="K16" s="129">
        <v>3573.9</v>
      </c>
      <c r="L16" s="129">
        <v>3748.8</v>
      </c>
      <c r="M16" s="129">
        <v>3929.2</v>
      </c>
      <c r="N16" s="130">
        <v>4490.2</v>
      </c>
      <c r="O16" s="129">
        <v>5129.3</v>
      </c>
      <c r="P16" s="129">
        <v>5810.2</v>
      </c>
    </row>
    <row r="17" ht="20.25" customHeight="1" spans="1:17">
      <c r="A17" s="133" t="s">
        <v>29</v>
      </c>
      <c r="B17" s="129">
        <v>1265</v>
      </c>
      <c r="C17" s="129">
        <v>1329.9</v>
      </c>
      <c r="D17" s="130">
        <v>1366.2</v>
      </c>
      <c r="E17" s="129">
        <v>1454.2</v>
      </c>
      <c r="F17" s="129">
        <v>1498.2</v>
      </c>
      <c r="G17" s="130">
        <v>1551</v>
      </c>
      <c r="H17" s="129">
        <v>1629.1</v>
      </c>
      <c r="I17" s="129">
        <v>1714.9</v>
      </c>
      <c r="J17" s="130">
        <v>1943.7</v>
      </c>
      <c r="K17" s="129">
        <v>2024</v>
      </c>
      <c r="L17" s="129">
        <v>2116.4</v>
      </c>
      <c r="M17" s="129">
        <v>2212.1</v>
      </c>
      <c r="N17" s="130">
        <v>2512.4</v>
      </c>
      <c r="O17" s="129">
        <v>2739</v>
      </c>
      <c r="P17" s="129">
        <v>3180.1</v>
      </c>
    </row>
    <row r="18" ht="20.25" customHeight="1" spans="1:17">
      <c r="A18" s="115" t="s">
        <v>30</v>
      </c>
      <c r="B18" s="129">
        <v>542.3</v>
      </c>
      <c r="C18" s="129">
        <v>553.3</v>
      </c>
      <c r="D18" s="130">
        <v>565.4</v>
      </c>
      <c r="E18" s="129">
        <v>578.6</v>
      </c>
      <c r="F18" s="129">
        <v>591.8</v>
      </c>
      <c r="G18" s="130">
        <v>606.1</v>
      </c>
      <c r="H18" s="129">
        <v>640.2</v>
      </c>
      <c r="I18" s="129">
        <v>674.3</v>
      </c>
      <c r="J18" s="130">
        <v>685.3</v>
      </c>
      <c r="K18" s="129">
        <v>704</v>
      </c>
      <c r="L18" s="129">
        <v>724.9</v>
      </c>
      <c r="M18" s="129">
        <v>742.5</v>
      </c>
      <c r="N18" s="130">
        <v>809.6</v>
      </c>
      <c r="O18" s="129">
        <v>881.1</v>
      </c>
      <c r="P18" s="129">
        <v>964.7</v>
      </c>
    </row>
    <row r="19" ht="20.25" customHeight="1" spans="1:17">
      <c r="A19" s="115" t="s">
        <v>31</v>
      </c>
      <c r="B19" s="129">
        <v>759</v>
      </c>
      <c r="C19" s="129">
        <v>770</v>
      </c>
      <c r="D19" s="130">
        <v>781</v>
      </c>
      <c r="E19" s="129">
        <v>792</v>
      </c>
      <c r="F19" s="129">
        <v>804.1</v>
      </c>
      <c r="G19" s="130">
        <v>816.2</v>
      </c>
      <c r="H19" s="129">
        <v>860.2</v>
      </c>
      <c r="I19" s="129">
        <v>888.8</v>
      </c>
      <c r="J19" s="130">
        <v>896.5</v>
      </c>
      <c r="K19" s="129">
        <v>911.9</v>
      </c>
      <c r="L19" s="129">
        <v>927.3</v>
      </c>
      <c r="M19" s="129">
        <v>943.8</v>
      </c>
      <c r="N19" s="130">
        <v>1013.1</v>
      </c>
      <c r="O19" s="129">
        <v>1069.2</v>
      </c>
      <c r="P19" s="129">
        <v>1147.3</v>
      </c>
    </row>
    <row r="20" ht="20.25" customHeight="1" spans="1:17">
      <c r="A20" s="115" t="s">
        <v>32</v>
      </c>
      <c r="B20" s="129">
        <v>0</v>
      </c>
      <c r="C20" s="129">
        <v>0</v>
      </c>
      <c r="D20" s="130">
        <v>0</v>
      </c>
      <c r="E20" s="129">
        <v>0</v>
      </c>
      <c r="F20" s="129">
        <v>0</v>
      </c>
      <c r="G20" s="130">
        <v>0</v>
      </c>
      <c r="H20" s="129">
        <v>512.6</v>
      </c>
      <c r="I20" s="129">
        <v>540.1</v>
      </c>
      <c r="J20" s="130">
        <v>591.8</v>
      </c>
      <c r="K20" s="129">
        <v>609.4</v>
      </c>
      <c r="L20" s="129">
        <v>628.1</v>
      </c>
      <c r="M20" s="129">
        <v>645.7</v>
      </c>
      <c r="N20" s="130">
        <v>738.1</v>
      </c>
      <c r="O20" s="129">
        <v>804.1</v>
      </c>
      <c r="P20" s="129">
        <v>881.1</v>
      </c>
    </row>
    <row r="21" ht="20.25" customHeight="1" spans="1:17">
      <c r="A21" s="115" t="s">
        <v>33</v>
      </c>
      <c r="B21" s="129">
        <v>427.9</v>
      </c>
      <c r="C21" s="129">
        <v>432.3</v>
      </c>
      <c r="D21" s="130">
        <v>434.5</v>
      </c>
      <c r="E21" s="129">
        <v>437.8</v>
      </c>
      <c r="F21" s="129">
        <v>442.2</v>
      </c>
      <c r="G21" s="130">
        <v>445.5</v>
      </c>
      <c r="H21" s="129">
        <v>463.1</v>
      </c>
      <c r="I21" s="129">
        <v>470.8</v>
      </c>
      <c r="J21" s="130">
        <v>520.3</v>
      </c>
      <c r="K21" s="129">
        <v>522.5</v>
      </c>
      <c r="L21" s="129">
        <v>530.2</v>
      </c>
      <c r="M21" s="129">
        <v>530.2</v>
      </c>
      <c r="N21" s="130">
        <v>586.3</v>
      </c>
      <c r="O21" s="129">
        <v>597.3</v>
      </c>
      <c r="P21" s="129">
        <v>577.5</v>
      </c>
    </row>
    <row r="22" ht="20.25" customHeight="1" spans="1:17">
      <c r="A22" s="115" t="s">
        <v>34</v>
      </c>
      <c r="B22" s="129">
        <v>479.6</v>
      </c>
      <c r="C22" s="129">
        <v>489.5</v>
      </c>
      <c r="D22" s="130">
        <v>499.4</v>
      </c>
      <c r="E22" s="129">
        <v>508.2</v>
      </c>
      <c r="F22" s="129">
        <v>518.1</v>
      </c>
      <c r="G22" s="130">
        <v>529.1</v>
      </c>
      <c r="H22" s="129">
        <v>558.8</v>
      </c>
      <c r="I22" s="129">
        <v>581.9</v>
      </c>
      <c r="J22" s="130">
        <v>596.2</v>
      </c>
      <c r="K22" s="129">
        <v>607.2</v>
      </c>
      <c r="L22" s="129">
        <v>609.4</v>
      </c>
      <c r="M22" s="129">
        <v>624.8</v>
      </c>
      <c r="N22" s="130">
        <v>676.5</v>
      </c>
      <c r="O22" s="129">
        <v>712.8</v>
      </c>
      <c r="P22" s="129">
        <v>789.8</v>
      </c>
    </row>
    <row r="23" ht="30" customHeight="1" spans="1:17">
      <c r="A23" s="122"/>
      <c r="B23" s="15"/>
      <c r="C23" s="15"/>
      <c r="D23" s="15"/>
      <c r="E23" s="15"/>
      <c r="F23" s="15"/>
      <c r="G23" s="15"/>
      <c r="H23" s="15"/>
      <c r="I23" s="15"/>
      <c r="J23" s="51"/>
      <c r="K23" s="15"/>
      <c r="L23" s="15"/>
      <c r="M23" s="15"/>
      <c r="N23" s="51"/>
      <c r="O23" s="15"/>
      <c r="P23" s="15"/>
    </row>
    <row r="24" ht="24" customHeight="1" spans="1:17">
      <c r="A24" s="120" t="s">
        <v>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20.25" customHeight="1" spans="1:17">
      <c r="A25" s="122"/>
      <c r="B25" s="134"/>
      <c r="C25" s="134"/>
      <c r="D25" s="134"/>
      <c r="E25" s="134"/>
      <c r="F25" s="134"/>
      <c r="G25" s="134"/>
      <c r="H25" s="134"/>
      <c r="I25" s="134"/>
      <c r="J25" s="135"/>
      <c r="K25" s="134"/>
      <c r="L25" s="134"/>
      <c r="M25" s="134"/>
      <c r="N25" s="135"/>
      <c r="O25" s="134"/>
      <c r="P25" s="134"/>
    </row>
    <row r="26" ht="26.25" customHeight="1" spans="1:17">
      <c r="A26" s="136" t="s">
        <v>36</v>
      </c>
    </row>
    <row r="27" ht="26.25" customHeight="1" spans="1:17">
      <c r="A27" s="124"/>
      <c r="B27" s="125" t="s">
        <v>2</v>
      </c>
      <c r="C27" s="125" t="s">
        <v>3</v>
      </c>
      <c r="D27" s="125" t="s">
        <v>4</v>
      </c>
      <c r="E27" s="125" t="s">
        <v>5</v>
      </c>
      <c r="F27" s="125" t="s">
        <v>6</v>
      </c>
      <c r="G27" s="125" t="s">
        <v>7</v>
      </c>
      <c r="H27" s="125" t="s">
        <v>8</v>
      </c>
      <c r="I27" s="125" t="s">
        <v>9</v>
      </c>
      <c r="J27" s="125" t="s">
        <v>10</v>
      </c>
      <c r="K27" s="125" t="s">
        <v>11</v>
      </c>
      <c r="L27" s="125" t="s">
        <v>12</v>
      </c>
      <c r="M27" s="125" t="s">
        <v>13</v>
      </c>
      <c r="N27" s="125" t="s">
        <v>14</v>
      </c>
      <c r="O27" s="125" t="s">
        <v>15</v>
      </c>
      <c r="P27" s="125" t="s">
        <v>16</v>
      </c>
      <c r="Q27" s="126"/>
    </row>
    <row r="28" ht="20.25" customHeight="1" spans="1:17">
      <c r="A28" s="115" t="s">
        <v>17</v>
      </c>
      <c r="B28" s="129">
        <v>968.99</v>
      </c>
      <c r="C28" s="129">
        <v>1028.445</v>
      </c>
      <c r="D28" s="130">
        <v>1111.935</v>
      </c>
      <c r="E28" s="129">
        <v>1163.8</v>
      </c>
      <c r="F28" s="129">
        <v>1232.11</v>
      </c>
      <c r="G28" s="130">
        <v>1328.25</v>
      </c>
      <c r="H28" s="129">
        <v>1419.33</v>
      </c>
      <c r="I28" s="129">
        <v>1561.01</v>
      </c>
      <c r="J28" s="130">
        <v>1757.085</v>
      </c>
      <c r="K28" s="129">
        <v>1874.73</v>
      </c>
      <c r="L28" s="129">
        <v>1948.1</v>
      </c>
      <c r="M28" s="129">
        <v>2041.71</v>
      </c>
      <c r="N28" s="130">
        <v>2163.15</v>
      </c>
      <c r="O28" s="129">
        <v>2511.025</v>
      </c>
      <c r="P28" s="129">
        <v>2741.255</v>
      </c>
    </row>
    <row r="29" ht="20.25" customHeight="1" spans="1:17">
      <c r="A29" s="115" t="s">
        <v>18</v>
      </c>
      <c r="B29" s="129">
        <v>788.095</v>
      </c>
      <c r="C29" s="129">
        <v>833.635</v>
      </c>
      <c r="D29" s="130">
        <v>934.835</v>
      </c>
      <c r="E29" s="129">
        <v>985.435</v>
      </c>
      <c r="F29" s="129">
        <v>1057.54</v>
      </c>
      <c r="G29" s="130">
        <v>1113.2</v>
      </c>
      <c r="H29" s="129">
        <v>1176.45</v>
      </c>
      <c r="I29" s="129">
        <v>1401.62</v>
      </c>
      <c r="J29" s="130">
        <v>1518</v>
      </c>
      <c r="K29" s="129">
        <v>1619.2</v>
      </c>
      <c r="L29" s="129">
        <v>1700.16</v>
      </c>
      <c r="M29" s="129">
        <v>1812.745</v>
      </c>
      <c r="N29" s="130">
        <v>1948.1</v>
      </c>
      <c r="O29" s="129">
        <v>2048.035</v>
      </c>
      <c r="P29" s="129">
        <v>2277</v>
      </c>
    </row>
    <row r="30" ht="20.25" customHeight="1" spans="1:17">
      <c r="A30" s="115" t="s">
        <v>19</v>
      </c>
      <c r="B30" s="129">
        <v>608.465</v>
      </c>
      <c r="C30" s="129">
        <v>680.57</v>
      </c>
      <c r="D30" s="130">
        <v>741.29</v>
      </c>
      <c r="E30" s="129">
        <v>788.095</v>
      </c>
      <c r="F30" s="129">
        <v>909.535</v>
      </c>
      <c r="G30" s="130">
        <v>961.4</v>
      </c>
      <c r="H30" s="129">
        <v>1027.18</v>
      </c>
      <c r="I30" s="129">
        <v>1113.2</v>
      </c>
      <c r="J30" s="130">
        <v>1214.4</v>
      </c>
      <c r="K30" s="129">
        <v>1315.6</v>
      </c>
      <c r="L30" s="129">
        <v>1366.2</v>
      </c>
      <c r="M30" s="129">
        <v>1416.8</v>
      </c>
      <c r="N30" s="130">
        <v>1528.12</v>
      </c>
      <c r="O30" s="129">
        <v>1720.4</v>
      </c>
      <c r="P30" s="129">
        <v>1872.2</v>
      </c>
    </row>
    <row r="31" ht="20.25" customHeight="1" spans="1:17">
      <c r="A31" s="115" t="s">
        <v>20</v>
      </c>
      <c r="B31" s="129">
        <v>514.855</v>
      </c>
      <c r="C31" s="129">
        <v>561.66</v>
      </c>
      <c r="D31" s="130">
        <v>647.68</v>
      </c>
      <c r="E31" s="129">
        <v>698.28</v>
      </c>
      <c r="F31" s="129">
        <v>784.3</v>
      </c>
      <c r="G31" s="130">
        <v>842.49</v>
      </c>
      <c r="H31" s="129">
        <v>898.15</v>
      </c>
      <c r="I31" s="129">
        <v>982.905</v>
      </c>
      <c r="J31" s="130">
        <v>1172.655</v>
      </c>
      <c r="K31" s="129">
        <v>1185.305</v>
      </c>
      <c r="L31" s="129">
        <v>1228.315</v>
      </c>
      <c r="M31" s="129">
        <v>1268.795</v>
      </c>
      <c r="N31" s="130">
        <v>1444.63</v>
      </c>
      <c r="O31" s="129">
        <v>1579.985</v>
      </c>
      <c r="P31" s="129">
        <v>1829.19</v>
      </c>
    </row>
    <row r="32" ht="20.25" customHeight="1" spans="1:17">
      <c r="A32" s="115" t="s">
        <v>21</v>
      </c>
      <c r="B32" s="129">
        <v>503.47</v>
      </c>
      <c r="C32" s="129">
        <v>528.77</v>
      </c>
      <c r="D32" s="130">
        <v>565.455</v>
      </c>
      <c r="E32" s="129">
        <v>588.225</v>
      </c>
      <c r="F32" s="129">
        <v>616.055</v>
      </c>
      <c r="G32" s="130">
        <v>657.8</v>
      </c>
      <c r="H32" s="129">
        <v>700.81</v>
      </c>
      <c r="I32" s="129">
        <v>760.265</v>
      </c>
      <c r="J32" s="130">
        <v>908.27</v>
      </c>
      <c r="K32" s="129">
        <v>917.125</v>
      </c>
      <c r="L32" s="129">
        <v>948.75</v>
      </c>
      <c r="M32" s="129">
        <v>979.11</v>
      </c>
      <c r="N32" s="130">
        <v>1115.73</v>
      </c>
      <c r="O32" s="129">
        <v>1211.87</v>
      </c>
      <c r="P32" s="129">
        <v>1404.15</v>
      </c>
    </row>
    <row r="33" ht="20.25" customHeight="1" spans="1:16">
      <c r="A33" s="115" t="s">
        <v>22</v>
      </c>
      <c r="B33" s="129">
        <v>349.14</v>
      </c>
      <c r="C33" s="129">
        <v>363.055</v>
      </c>
      <c r="D33" s="130">
        <v>385.825</v>
      </c>
      <c r="E33" s="129">
        <v>398.475</v>
      </c>
      <c r="F33" s="129">
        <v>416.185</v>
      </c>
      <c r="G33" s="130">
        <v>440.22</v>
      </c>
      <c r="H33" s="129">
        <v>468.05</v>
      </c>
      <c r="I33" s="129">
        <v>503.47</v>
      </c>
      <c r="J33" s="130">
        <v>609.73</v>
      </c>
      <c r="K33" s="129">
        <v>614.79</v>
      </c>
      <c r="L33" s="129">
        <v>632.5</v>
      </c>
      <c r="M33" s="129">
        <v>651.475</v>
      </c>
      <c r="N33" s="130">
        <v>750.145</v>
      </c>
      <c r="O33" s="129">
        <v>807.07</v>
      </c>
      <c r="P33" s="129">
        <v>939.895</v>
      </c>
    </row>
    <row r="34" ht="20.25" customHeight="1" spans="1:16">
      <c r="A34" s="115" t="s">
        <v>23</v>
      </c>
      <c r="B34" s="129">
        <v>966.46</v>
      </c>
      <c r="C34" s="129">
        <v>1018.325</v>
      </c>
      <c r="D34" s="130">
        <v>1113.2</v>
      </c>
      <c r="E34" s="129">
        <v>1196.69</v>
      </c>
      <c r="F34" s="129">
        <v>1323.19</v>
      </c>
      <c r="G34" s="130">
        <v>1418.065</v>
      </c>
      <c r="H34" s="129">
        <v>1578.72</v>
      </c>
      <c r="I34" s="129">
        <v>1641.97</v>
      </c>
      <c r="J34" s="130">
        <v>1864.61</v>
      </c>
      <c r="K34" s="129">
        <v>1970.87</v>
      </c>
      <c r="L34" s="129">
        <v>2056.89</v>
      </c>
      <c r="M34" s="129">
        <v>2153.03</v>
      </c>
      <c r="N34" s="130">
        <v>2355.43</v>
      </c>
      <c r="O34" s="129">
        <v>2621.08</v>
      </c>
      <c r="P34" s="129">
        <v>2863.96</v>
      </c>
    </row>
    <row r="35" ht="20.25" customHeight="1" spans="1:16">
      <c r="A35" s="115" t="s">
        <v>24</v>
      </c>
      <c r="B35" s="129">
        <v>858.935</v>
      </c>
      <c r="C35" s="129">
        <v>967.725</v>
      </c>
      <c r="D35" s="130">
        <v>1062.6</v>
      </c>
      <c r="E35" s="129">
        <v>1146.09</v>
      </c>
      <c r="F35" s="129">
        <v>1272.59</v>
      </c>
      <c r="G35" s="130">
        <v>1367.465</v>
      </c>
      <c r="H35" s="129">
        <v>1528.12</v>
      </c>
      <c r="I35" s="129">
        <v>1591.37</v>
      </c>
      <c r="J35" s="130">
        <v>1814.01</v>
      </c>
      <c r="K35" s="129">
        <v>1920.27</v>
      </c>
      <c r="L35" s="129">
        <v>2006.29</v>
      </c>
      <c r="M35" s="129">
        <v>2102.43</v>
      </c>
      <c r="N35" s="130">
        <v>2304.83</v>
      </c>
      <c r="O35" s="129">
        <v>2570.48</v>
      </c>
      <c r="P35" s="129">
        <v>2813.36</v>
      </c>
    </row>
    <row r="36" ht="20.25" customHeight="1" spans="1:16">
      <c r="A36" s="115" t="s">
        <v>25</v>
      </c>
      <c r="B36" s="129">
        <v>751.41</v>
      </c>
      <c r="C36" s="129">
        <v>7972.03</v>
      </c>
      <c r="D36" s="130">
        <v>869.055</v>
      </c>
      <c r="E36" s="129">
        <v>947.485</v>
      </c>
      <c r="F36" s="129">
        <v>1020.855</v>
      </c>
      <c r="G36" s="130">
        <v>1065.13</v>
      </c>
      <c r="H36" s="129">
        <v>1181.51</v>
      </c>
      <c r="I36" s="129">
        <v>1409.21</v>
      </c>
      <c r="J36" s="130">
        <v>1449.69</v>
      </c>
      <c r="K36" s="129">
        <v>1549.625</v>
      </c>
      <c r="L36" s="129">
        <v>1692.57</v>
      </c>
      <c r="M36" s="129">
        <v>1870.935</v>
      </c>
      <c r="N36" s="130">
        <v>2233.99</v>
      </c>
      <c r="O36" s="129">
        <v>2419.945</v>
      </c>
      <c r="P36" s="129">
        <v>2531.265</v>
      </c>
    </row>
    <row r="37" ht="20.25" customHeight="1" spans="1:16">
      <c r="A37" s="115" t="s">
        <v>37</v>
      </c>
      <c r="B37" s="129">
        <v>1128.38</v>
      </c>
      <c r="C37" s="129">
        <v>1200.485</v>
      </c>
      <c r="D37" s="130">
        <v>1246.025</v>
      </c>
      <c r="E37" s="129">
        <v>1404.15</v>
      </c>
      <c r="F37" s="129">
        <v>1482.58</v>
      </c>
      <c r="G37" s="130">
        <v>1640.705</v>
      </c>
      <c r="H37" s="129">
        <v>1746.965</v>
      </c>
      <c r="I37" s="129">
        <v>2006.29</v>
      </c>
      <c r="J37" s="130">
        <v>2340.25</v>
      </c>
      <c r="K37" s="129">
        <v>2531.265</v>
      </c>
      <c r="L37" s="129">
        <v>2853.84</v>
      </c>
      <c r="M37" s="129">
        <v>2996.785</v>
      </c>
      <c r="N37" s="130">
        <v>3549.59</v>
      </c>
      <c r="O37" s="129">
        <v>3912.645</v>
      </c>
      <c r="P37" s="129">
        <v>4098.6</v>
      </c>
    </row>
    <row r="38" ht="20.25" customHeight="1" spans="1:16">
      <c r="A38" s="137" t="s">
        <v>26</v>
      </c>
      <c r="B38" s="129">
        <v>1720.4</v>
      </c>
      <c r="C38" s="129">
        <v>1773.53</v>
      </c>
      <c r="D38" s="130">
        <v>1835.515</v>
      </c>
      <c r="E38" s="129">
        <v>1900.03</v>
      </c>
      <c r="F38" s="129">
        <v>1968.34</v>
      </c>
      <c r="G38" s="130">
        <v>2040.445</v>
      </c>
      <c r="H38" s="129">
        <v>2067.01</v>
      </c>
      <c r="I38" s="129">
        <v>2223.87</v>
      </c>
      <c r="J38" s="130">
        <v>2522.41</v>
      </c>
      <c r="K38" s="129">
        <v>2614.755</v>
      </c>
      <c r="L38" s="129">
        <v>2710.895</v>
      </c>
      <c r="M38" s="129">
        <v>2810.83</v>
      </c>
      <c r="N38" s="130">
        <v>3168.825</v>
      </c>
      <c r="O38" s="129">
        <v>3520.495</v>
      </c>
      <c r="P38" s="129">
        <v>3944.27</v>
      </c>
    </row>
    <row r="39" ht="20.25" customHeight="1" spans="1:16">
      <c r="A39" s="137" t="s">
        <v>27</v>
      </c>
      <c r="B39" s="129">
        <v>1955.69</v>
      </c>
      <c r="C39" s="129">
        <v>2036.65</v>
      </c>
      <c r="D39" s="130">
        <v>2128.995</v>
      </c>
      <c r="E39" s="129">
        <v>2226.4</v>
      </c>
      <c r="F39" s="129">
        <v>2328.865</v>
      </c>
      <c r="G39" s="130">
        <v>2436.39</v>
      </c>
      <c r="H39" s="129">
        <v>2646.38</v>
      </c>
      <c r="I39" s="129">
        <v>2894.32</v>
      </c>
      <c r="J39" s="130">
        <v>3319.36</v>
      </c>
      <c r="K39" s="129">
        <v>3467.365</v>
      </c>
      <c r="L39" s="129">
        <v>3696.33</v>
      </c>
      <c r="M39" s="129">
        <v>3868.37</v>
      </c>
      <c r="N39" s="130">
        <v>4413.585</v>
      </c>
      <c r="O39" s="129">
        <v>5015.725</v>
      </c>
      <c r="P39" s="129">
        <v>56270.995</v>
      </c>
    </row>
    <row r="40" ht="20.25" customHeight="1" spans="1:16">
      <c r="A40" s="137" t="s">
        <v>28</v>
      </c>
      <c r="B40" s="129">
        <v>2548.975</v>
      </c>
      <c r="C40" s="129">
        <v>2662.825</v>
      </c>
      <c r="D40" s="130">
        <v>2789.325</v>
      </c>
      <c r="E40" s="129">
        <v>2922.15</v>
      </c>
      <c r="F40" s="129">
        <v>3062.565</v>
      </c>
      <c r="G40" s="130">
        <v>3215.63</v>
      </c>
      <c r="H40" s="129">
        <v>3511.64</v>
      </c>
      <c r="I40" s="129">
        <v>3882.285</v>
      </c>
      <c r="J40" s="130">
        <v>4476.835</v>
      </c>
      <c r="K40" s="129">
        <v>4698.21</v>
      </c>
      <c r="L40" s="129">
        <v>4927.175</v>
      </c>
      <c r="M40" s="129">
        <v>5163.73</v>
      </c>
      <c r="N40" s="130">
        <v>5902.49</v>
      </c>
      <c r="O40" s="129">
        <v>6742.45</v>
      </c>
      <c r="P40" s="129">
        <v>7635.54</v>
      </c>
    </row>
    <row r="41" ht="20.25" customHeight="1" spans="1:16">
      <c r="A41" s="115" t="s">
        <v>29</v>
      </c>
      <c r="B41" s="129">
        <v>1544.565</v>
      </c>
      <c r="C41" s="129">
        <v>1624.26</v>
      </c>
      <c r="D41" s="130">
        <v>1668.535</v>
      </c>
      <c r="E41" s="129">
        <v>1777.325</v>
      </c>
      <c r="F41" s="129">
        <v>1831.72</v>
      </c>
      <c r="G41" s="130">
        <v>1896.235</v>
      </c>
      <c r="H41" s="129">
        <v>1997.435</v>
      </c>
      <c r="I41" s="129">
        <v>2103.695</v>
      </c>
      <c r="J41" s="130">
        <v>2384.525</v>
      </c>
      <c r="K41" s="129">
        <v>2481.93</v>
      </c>
      <c r="L41" s="129">
        <v>2595.78</v>
      </c>
      <c r="M41" s="129">
        <v>2713.425</v>
      </c>
      <c r="N41" s="130">
        <v>3081.54</v>
      </c>
      <c r="O41" s="129">
        <v>3359.84</v>
      </c>
      <c r="P41" s="129">
        <v>3899.995</v>
      </c>
    </row>
    <row r="42" ht="20.25" customHeight="1" spans="1:16">
      <c r="A42" s="115" t="s">
        <v>30</v>
      </c>
      <c r="B42" s="129">
        <v>662.86</v>
      </c>
      <c r="C42" s="129">
        <v>676.775</v>
      </c>
      <c r="D42" s="130">
        <v>691.955</v>
      </c>
      <c r="E42" s="129">
        <v>705.87</v>
      </c>
      <c r="F42" s="129">
        <v>723.58</v>
      </c>
      <c r="G42" s="130">
        <v>741.29</v>
      </c>
      <c r="H42" s="129">
        <v>783.035</v>
      </c>
      <c r="I42" s="129">
        <v>823.515</v>
      </c>
      <c r="J42" s="130">
        <v>893.09</v>
      </c>
      <c r="K42" s="129">
        <v>928.05</v>
      </c>
      <c r="L42" s="129">
        <v>943.69</v>
      </c>
      <c r="M42" s="129">
        <v>967.725</v>
      </c>
      <c r="N42" s="130">
        <v>1055.01</v>
      </c>
      <c r="O42" s="129">
        <v>1148.62</v>
      </c>
      <c r="P42" s="129">
        <v>1257.41</v>
      </c>
    </row>
    <row r="43" ht="20.25" customHeight="1" spans="1:16">
      <c r="A43" s="115" t="s">
        <v>31</v>
      </c>
      <c r="B43" s="129">
        <v>924.715</v>
      </c>
      <c r="C43" s="129">
        <v>937.365</v>
      </c>
      <c r="D43" s="130">
        <v>951.28</v>
      </c>
      <c r="E43" s="129">
        <v>963.93</v>
      </c>
      <c r="F43" s="129">
        <v>979.11</v>
      </c>
      <c r="G43" s="130">
        <v>994.29</v>
      </c>
      <c r="H43" s="129">
        <v>1047.42</v>
      </c>
      <c r="I43" s="129">
        <v>1081.575</v>
      </c>
      <c r="J43" s="130">
        <v>1160.005</v>
      </c>
      <c r="K43" s="129">
        <v>1178.98</v>
      </c>
      <c r="L43" s="129">
        <v>1200.485</v>
      </c>
      <c r="M43" s="129">
        <v>1220.725</v>
      </c>
      <c r="N43" s="130">
        <v>1310.54</v>
      </c>
      <c r="O43" s="129">
        <v>1383.91</v>
      </c>
      <c r="P43" s="129">
        <v>1485.11</v>
      </c>
    </row>
    <row r="44" ht="20.25" customHeight="1" spans="1:16">
      <c r="A44" s="115" t="s">
        <v>32</v>
      </c>
      <c r="B44" s="129">
        <v>0</v>
      </c>
      <c r="C44" s="129">
        <v>0</v>
      </c>
      <c r="D44" s="130">
        <v>0</v>
      </c>
      <c r="E44" s="129">
        <v>0</v>
      </c>
      <c r="F44" s="129">
        <v>0</v>
      </c>
      <c r="G44" s="130">
        <v>0</v>
      </c>
      <c r="H44" s="129">
        <v>672.98</v>
      </c>
      <c r="I44" s="129">
        <v>710.93</v>
      </c>
      <c r="J44" s="130">
        <v>777.975</v>
      </c>
      <c r="K44" s="129">
        <v>800.745</v>
      </c>
      <c r="L44" s="129">
        <v>826.045</v>
      </c>
      <c r="M44" s="129">
        <v>847.55</v>
      </c>
      <c r="N44" s="130">
        <v>970.255</v>
      </c>
      <c r="O44" s="129">
        <v>1056.275</v>
      </c>
      <c r="P44" s="129">
        <v>1157.475</v>
      </c>
    </row>
    <row r="45" ht="20.25" customHeight="1" spans="1:16">
      <c r="A45" s="115" t="s">
        <v>33</v>
      </c>
      <c r="B45" s="129">
        <v>562.925</v>
      </c>
      <c r="C45" s="129">
        <v>567.985</v>
      </c>
      <c r="D45" s="130">
        <v>570.515</v>
      </c>
      <c r="E45" s="129">
        <v>575.575</v>
      </c>
      <c r="F45" s="129">
        <v>580.635</v>
      </c>
      <c r="G45" s="130">
        <v>584.43</v>
      </c>
      <c r="H45" s="129">
        <v>608.465</v>
      </c>
      <c r="I45" s="129">
        <v>618.585</v>
      </c>
      <c r="J45" s="130">
        <v>684.365</v>
      </c>
      <c r="K45" s="129">
        <v>686.895</v>
      </c>
      <c r="L45" s="129">
        <v>697.015</v>
      </c>
      <c r="M45" s="129">
        <v>697.015</v>
      </c>
      <c r="N45" s="130">
        <v>770.385</v>
      </c>
      <c r="O45" s="129">
        <v>784.3</v>
      </c>
      <c r="P45" s="129">
        <v>759</v>
      </c>
    </row>
    <row r="46" ht="20.25" customHeight="1" spans="1:16">
      <c r="A46" s="115" t="s">
        <v>34</v>
      </c>
      <c r="B46" s="129">
        <v>629.97</v>
      </c>
      <c r="C46" s="129">
        <v>642.62</v>
      </c>
      <c r="D46" s="130">
        <v>656.535</v>
      </c>
      <c r="E46" s="129">
        <v>667.92</v>
      </c>
      <c r="F46" s="129">
        <v>680.57</v>
      </c>
      <c r="G46" s="130">
        <v>695.75</v>
      </c>
      <c r="H46" s="129">
        <v>734.965</v>
      </c>
      <c r="I46" s="129">
        <v>765.325</v>
      </c>
      <c r="J46" s="130">
        <v>783.035</v>
      </c>
      <c r="K46" s="129">
        <v>798.215</v>
      </c>
      <c r="L46" s="129">
        <v>800.745</v>
      </c>
      <c r="M46" s="129">
        <v>820.985</v>
      </c>
      <c r="N46" s="130">
        <v>889.295</v>
      </c>
      <c r="O46" s="129">
        <v>936.1</v>
      </c>
      <c r="P46" s="129">
        <v>1038.565</v>
      </c>
    </row>
    <row r="47" ht="15.75" customHeight="1" spans="1:16">
      <c r="A47" s="138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</row>
    <row r="48" ht="24" customHeight="1" spans="1:16">
      <c r="A48" s="120" t="s">
        <v>35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20.25" customHeight="1" spans="1:16">
      <c r="A49" s="122"/>
      <c r="B49" s="134"/>
      <c r="C49" s="134"/>
      <c r="D49" s="134"/>
      <c r="E49" s="134"/>
      <c r="F49" s="134"/>
      <c r="G49" s="134"/>
      <c r="H49" s="134"/>
      <c r="I49" s="134"/>
      <c r="J49" s="135"/>
      <c r="K49" s="134"/>
      <c r="L49" s="134"/>
      <c r="M49" s="134"/>
      <c r="N49" s="135"/>
      <c r="O49" s="134"/>
      <c r="P49" s="134"/>
    </row>
    <row r="50" ht="26.25" customHeight="1" spans="1:16">
      <c r="A50" s="136" t="s">
        <v>38</v>
      </c>
    </row>
    <row r="51" ht="20.25" customHeight="1" spans="1:16">
      <c r="A51" s="124"/>
      <c r="B51" s="125" t="s">
        <v>2</v>
      </c>
      <c r="C51" s="125" t="s">
        <v>3</v>
      </c>
      <c r="D51" s="125" t="s">
        <v>4</v>
      </c>
      <c r="E51" s="125" t="s">
        <v>5</v>
      </c>
      <c r="F51" s="125" t="s">
        <v>6</v>
      </c>
      <c r="G51" s="125" t="s">
        <v>7</v>
      </c>
      <c r="H51" s="125" t="s">
        <v>8</v>
      </c>
      <c r="I51" s="125" t="s">
        <v>9</v>
      </c>
      <c r="J51" s="125" t="s">
        <v>10</v>
      </c>
      <c r="K51" s="125" t="s">
        <v>11</v>
      </c>
      <c r="L51" s="125" t="s">
        <v>12</v>
      </c>
      <c r="M51" s="125" t="s">
        <v>13</v>
      </c>
      <c r="N51" s="125" t="s">
        <v>14</v>
      </c>
      <c r="O51" s="125" t="s">
        <v>15</v>
      </c>
      <c r="P51" s="125" t="s">
        <v>16</v>
      </c>
    </row>
    <row r="52" ht="21" customHeight="1" spans="1:16">
      <c r="A52" s="115" t="s">
        <v>17</v>
      </c>
      <c r="B52" s="129">
        <v>1342.165</v>
      </c>
      <c r="C52" s="129">
        <v>1520.53</v>
      </c>
      <c r="D52" s="130">
        <v>1593.9</v>
      </c>
      <c r="E52" s="129">
        <v>1735.58</v>
      </c>
      <c r="F52" s="129">
        <v>1843.105</v>
      </c>
      <c r="G52" s="130">
        <v>1994.905</v>
      </c>
      <c r="H52" s="129">
        <v>2136.585</v>
      </c>
      <c r="I52" s="129">
        <v>2360.49</v>
      </c>
      <c r="J52" s="130">
        <v>2646.38</v>
      </c>
      <c r="K52" s="129">
        <v>2676.74</v>
      </c>
      <c r="L52" s="129">
        <v>2785.53</v>
      </c>
      <c r="M52" s="129">
        <v>2894.32</v>
      </c>
      <c r="N52" s="130">
        <v>3261.17</v>
      </c>
      <c r="O52" s="129">
        <v>3598.925</v>
      </c>
      <c r="P52" s="129">
        <v>4151.73</v>
      </c>
    </row>
    <row r="53" ht="21" customHeight="1" spans="1:16">
      <c r="A53" s="115" t="s">
        <v>18</v>
      </c>
      <c r="B53" s="129">
        <v>1209.34</v>
      </c>
      <c r="C53" s="129">
        <v>1295.36</v>
      </c>
      <c r="D53" s="130">
        <v>1414.27</v>
      </c>
      <c r="E53" s="129">
        <v>1488.905</v>
      </c>
      <c r="F53" s="129">
        <v>1586.31</v>
      </c>
      <c r="G53" s="130">
        <v>1722.93</v>
      </c>
      <c r="H53" s="129">
        <v>1850.695</v>
      </c>
      <c r="I53" s="129">
        <v>2051.83</v>
      </c>
      <c r="J53" s="130">
        <v>2452.835</v>
      </c>
      <c r="K53" s="129">
        <v>2481.93</v>
      </c>
      <c r="L53" s="129">
        <v>2586.925</v>
      </c>
      <c r="M53" s="129">
        <v>2690.655</v>
      </c>
      <c r="N53" s="130">
        <v>3046.12</v>
      </c>
      <c r="O53" s="129">
        <v>3368.695</v>
      </c>
      <c r="P53" s="129">
        <v>3902.525</v>
      </c>
    </row>
    <row r="54" ht="21" customHeight="1" spans="1:16">
      <c r="A54" s="115" t="s">
        <v>19</v>
      </c>
      <c r="B54" s="129">
        <v>1008.205</v>
      </c>
      <c r="C54" s="129">
        <v>1076.515</v>
      </c>
      <c r="D54" s="130">
        <v>1294.095</v>
      </c>
      <c r="E54" s="129">
        <v>1362.405</v>
      </c>
      <c r="F54" s="129">
        <v>1449.69</v>
      </c>
      <c r="G54" s="130">
        <v>1572.395</v>
      </c>
      <c r="H54" s="129">
        <v>1690.04</v>
      </c>
      <c r="I54" s="129">
        <v>1870.935</v>
      </c>
      <c r="J54" s="130">
        <v>2173.27</v>
      </c>
      <c r="K54" s="129">
        <v>2264.35</v>
      </c>
      <c r="L54" s="129">
        <v>2359.225</v>
      </c>
      <c r="M54" s="129">
        <v>2452.835</v>
      </c>
      <c r="N54" s="130">
        <v>2777.94</v>
      </c>
      <c r="O54" s="129">
        <v>3070.155</v>
      </c>
      <c r="P54" s="129">
        <v>3557.18</v>
      </c>
    </row>
    <row r="55" ht="21" customHeight="1" spans="1:16">
      <c r="A55" s="115" t="s">
        <v>20</v>
      </c>
      <c r="B55" s="129">
        <v>898.15</v>
      </c>
      <c r="C55" s="129">
        <v>952.545</v>
      </c>
      <c r="D55" s="130">
        <v>1027.18</v>
      </c>
      <c r="E55" s="129">
        <v>1073.985</v>
      </c>
      <c r="F55" s="129">
        <v>1135.97</v>
      </c>
      <c r="G55" s="130">
        <v>1221.99</v>
      </c>
      <c r="H55" s="129">
        <v>1305.48</v>
      </c>
      <c r="I55" s="129">
        <v>1433.245</v>
      </c>
      <c r="J55" s="130">
        <v>1601.49</v>
      </c>
      <c r="K55" s="129">
        <v>1721.665</v>
      </c>
      <c r="L55" s="129">
        <v>1787.445</v>
      </c>
      <c r="M55" s="129">
        <v>1853.225</v>
      </c>
      <c r="N55" s="130">
        <v>2094.84</v>
      </c>
      <c r="O55" s="129">
        <v>2299.77</v>
      </c>
      <c r="P55" s="129">
        <v>2653.97</v>
      </c>
    </row>
    <row r="56" ht="21" customHeight="1" spans="1:16">
      <c r="A56" s="115" t="s">
        <v>21</v>
      </c>
      <c r="B56" s="129">
        <v>712.195</v>
      </c>
      <c r="C56" s="129">
        <v>751.41</v>
      </c>
      <c r="D56" s="130">
        <v>804.54</v>
      </c>
      <c r="E56" s="129">
        <v>837.43</v>
      </c>
      <c r="F56" s="129">
        <v>881.705</v>
      </c>
      <c r="G56" s="130">
        <v>943.69</v>
      </c>
      <c r="H56" s="129">
        <v>1006.94</v>
      </c>
      <c r="I56" s="129">
        <v>1096.755</v>
      </c>
      <c r="J56" s="130">
        <v>1302.95</v>
      </c>
      <c r="K56" s="129">
        <v>1316.865</v>
      </c>
      <c r="L56" s="129">
        <v>1363.67</v>
      </c>
      <c r="M56" s="129">
        <v>1410.475</v>
      </c>
      <c r="N56" s="130">
        <v>1597.695</v>
      </c>
      <c r="O56" s="129">
        <v>1744.435</v>
      </c>
      <c r="P56" s="129">
        <v>2013.88</v>
      </c>
    </row>
    <row r="57" ht="21" customHeight="1" spans="1:16">
      <c r="A57" s="115" t="s">
        <v>22</v>
      </c>
      <c r="B57" s="129">
        <v>490.82</v>
      </c>
      <c r="C57" s="129">
        <v>513.59</v>
      </c>
      <c r="D57" s="130">
        <v>546.48</v>
      </c>
      <c r="E57" s="129">
        <v>566.72</v>
      </c>
      <c r="F57" s="129">
        <v>593.285</v>
      </c>
      <c r="G57" s="130">
        <v>629.97</v>
      </c>
      <c r="H57" s="129">
        <v>670.45</v>
      </c>
      <c r="I57" s="129">
        <v>724.845</v>
      </c>
      <c r="J57" s="130">
        <v>866.525</v>
      </c>
      <c r="K57" s="129">
        <v>874.115</v>
      </c>
      <c r="L57" s="129">
        <v>903.21</v>
      </c>
      <c r="M57" s="129">
        <v>931.04</v>
      </c>
      <c r="N57" s="130">
        <v>1061.335</v>
      </c>
      <c r="O57" s="129">
        <v>1149.885</v>
      </c>
      <c r="P57" s="129">
        <v>1330.78</v>
      </c>
    </row>
    <row r="58" ht="21" customHeight="1" spans="1:16">
      <c r="A58" s="115" t="s">
        <v>23</v>
      </c>
      <c r="B58" s="129">
        <v>1525.59</v>
      </c>
      <c r="C58" s="129">
        <v>1631.85</v>
      </c>
      <c r="D58" s="130">
        <v>1778.59</v>
      </c>
      <c r="E58" s="129">
        <v>1920.27</v>
      </c>
      <c r="F58" s="129">
        <v>2039.18</v>
      </c>
      <c r="G58" s="130">
        <v>2208.69</v>
      </c>
      <c r="H58" s="129">
        <v>2462.955</v>
      </c>
      <c r="I58" s="129">
        <v>2719.75</v>
      </c>
      <c r="J58" s="130">
        <v>3106.84</v>
      </c>
      <c r="K58" s="129">
        <v>3143.525</v>
      </c>
      <c r="L58" s="129">
        <v>3271.29</v>
      </c>
      <c r="M58" s="129">
        <v>3400.32</v>
      </c>
      <c r="N58" s="130">
        <v>3693.8</v>
      </c>
      <c r="O58" s="129">
        <v>4080.89</v>
      </c>
      <c r="P58" s="129">
        <v>4546.41</v>
      </c>
    </row>
    <row r="59" ht="21" customHeight="1" spans="1:16">
      <c r="A59" s="115" t="s">
        <v>24</v>
      </c>
      <c r="B59" s="129">
        <v>1449.69</v>
      </c>
      <c r="C59" s="129">
        <v>1555.95</v>
      </c>
      <c r="D59" s="130">
        <v>1702.69</v>
      </c>
      <c r="E59" s="129">
        <v>1844.37</v>
      </c>
      <c r="F59" s="129">
        <v>1963.28</v>
      </c>
      <c r="G59" s="130">
        <v>2131.525</v>
      </c>
      <c r="H59" s="129">
        <v>2387.055</v>
      </c>
      <c r="I59" s="129">
        <v>2643.85</v>
      </c>
      <c r="J59" s="130">
        <v>3030.94</v>
      </c>
      <c r="K59" s="129">
        <v>3067.625</v>
      </c>
      <c r="L59" s="129">
        <v>3195.39</v>
      </c>
      <c r="M59" s="129">
        <v>3324.42</v>
      </c>
      <c r="N59" s="130">
        <v>3617.9</v>
      </c>
      <c r="O59" s="129">
        <v>4004.99</v>
      </c>
      <c r="P59" s="129">
        <v>4470.51</v>
      </c>
    </row>
    <row r="60" ht="21" customHeight="1" spans="1:16">
      <c r="A60" s="137" t="s">
        <v>26</v>
      </c>
      <c r="B60" s="129">
        <v>2123.935</v>
      </c>
      <c r="C60" s="129">
        <v>2265.615</v>
      </c>
      <c r="D60" s="130">
        <v>2416.15</v>
      </c>
      <c r="E60" s="129">
        <v>2573.01</v>
      </c>
      <c r="F60" s="129">
        <v>2739.99</v>
      </c>
      <c r="G60" s="130">
        <v>2913.295</v>
      </c>
      <c r="H60" s="129">
        <v>3215.63</v>
      </c>
      <c r="I60" s="129">
        <v>3619.165</v>
      </c>
      <c r="J60" s="130">
        <v>4245.34</v>
      </c>
      <c r="K60" s="129">
        <v>4485.69</v>
      </c>
      <c r="L60" s="129">
        <v>4733.63</v>
      </c>
      <c r="M60" s="129">
        <v>4991.69</v>
      </c>
      <c r="N60" s="130">
        <v>5566</v>
      </c>
      <c r="O60" s="129">
        <v>5985.98</v>
      </c>
      <c r="P60" s="129">
        <v>6604.565</v>
      </c>
    </row>
    <row r="61" ht="21" customHeight="1" spans="1:16">
      <c r="A61" s="137" t="s">
        <v>27</v>
      </c>
      <c r="B61" s="129">
        <v>2301.035</v>
      </c>
      <c r="C61" s="129">
        <v>2442.715</v>
      </c>
      <c r="D61" s="130">
        <v>2593.25</v>
      </c>
      <c r="E61" s="129">
        <v>2751.375</v>
      </c>
      <c r="F61" s="129">
        <v>2917.09</v>
      </c>
      <c r="G61" s="130">
        <v>3091.66</v>
      </c>
      <c r="H61" s="129">
        <v>3400.32</v>
      </c>
      <c r="I61" s="129">
        <v>3803.855</v>
      </c>
      <c r="J61" s="130">
        <v>4436.355</v>
      </c>
      <c r="K61" s="129">
        <v>4676.705</v>
      </c>
      <c r="L61" s="129">
        <v>4924.645</v>
      </c>
      <c r="M61" s="129">
        <v>5182.705</v>
      </c>
      <c r="N61" s="130">
        <v>5967.005</v>
      </c>
      <c r="O61" s="129">
        <v>6874.01</v>
      </c>
      <c r="P61" s="129">
        <v>7825.29</v>
      </c>
    </row>
    <row r="62" ht="21" customHeight="1" spans="1:16">
      <c r="A62" s="137" t="s">
        <v>28</v>
      </c>
      <c r="B62" s="129">
        <v>3058.77</v>
      </c>
      <c r="C62" s="129">
        <v>3251.05</v>
      </c>
      <c r="D62" s="130">
        <v>3457.245</v>
      </c>
      <c r="E62" s="129">
        <v>3672.295</v>
      </c>
      <c r="F62" s="129">
        <v>3901.26</v>
      </c>
      <c r="G62" s="130">
        <v>4141.61</v>
      </c>
      <c r="H62" s="129">
        <v>4561.59</v>
      </c>
      <c r="I62" s="129">
        <v>5118.19</v>
      </c>
      <c r="J62" s="130">
        <v>5936.645</v>
      </c>
      <c r="K62" s="129">
        <v>6269.34</v>
      </c>
      <c r="L62" s="129">
        <v>6615.95</v>
      </c>
      <c r="M62" s="129">
        <v>6972.68</v>
      </c>
      <c r="N62" s="130">
        <v>8002.39</v>
      </c>
      <c r="O62" s="129">
        <v>9268.655</v>
      </c>
      <c r="P62" s="129">
        <v>10529.86</v>
      </c>
    </row>
    <row r="63" ht="21" customHeight="1" spans="1:16">
      <c r="A63" s="115" t="s">
        <v>39</v>
      </c>
      <c r="B63" s="129">
        <v>1830.455</v>
      </c>
      <c r="C63" s="129">
        <v>1859.55</v>
      </c>
      <c r="D63" s="130">
        <v>1907.62</v>
      </c>
      <c r="E63" s="129">
        <v>1940.51</v>
      </c>
      <c r="F63" s="129">
        <v>2049.3</v>
      </c>
      <c r="G63" s="130">
        <v>2104.96</v>
      </c>
      <c r="H63" s="129">
        <v>2163.15</v>
      </c>
      <c r="I63" s="129">
        <v>2258.025</v>
      </c>
      <c r="J63" s="130">
        <v>2340.25</v>
      </c>
      <c r="K63" s="129">
        <v>2476.87</v>
      </c>
      <c r="L63" s="129">
        <v>2679.27</v>
      </c>
      <c r="M63" s="129">
        <v>2781.735</v>
      </c>
      <c r="N63" s="130">
        <v>3036</v>
      </c>
      <c r="O63" s="129">
        <v>3235.87</v>
      </c>
      <c r="P63" s="129">
        <v>3364.9</v>
      </c>
    </row>
    <row r="64" ht="21" customHeight="1" spans="1:16">
      <c r="A64" s="115" t="s">
        <v>40</v>
      </c>
      <c r="B64" s="129">
        <v>1687.51</v>
      </c>
      <c r="C64" s="129">
        <v>1773.53</v>
      </c>
      <c r="D64" s="130">
        <v>1824.13</v>
      </c>
      <c r="E64" s="129">
        <v>1937.98</v>
      </c>
      <c r="F64" s="129">
        <v>1879.79</v>
      </c>
      <c r="G64" s="130">
        <v>1946.835</v>
      </c>
      <c r="H64" s="129">
        <v>2173.27</v>
      </c>
      <c r="I64" s="129">
        <v>2292.18</v>
      </c>
      <c r="J64" s="130">
        <v>2537.59</v>
      </c>
      <c r="K64" s="129">
        <v>2637.525</v>
      </c>
      <c r="L64" s="129">
        <v>2752.64</v>
      </c>
      <c r="M64" s="129">
        <v>2871.55</v>
      </c>
      <c r="N64" s="130">
        <v>3238.4</v>
      </c>
      <c r="O64" s="129">
        <v>3617.9</v>
      </c>
      <c r="P64" s="129">
        <v>4112.515</v>
      </c>
    </row>
    <row r="65" ht="21" customHeight="1" spans="1:16">
      <c r="A65" s="115" t="s">
        <v>41</v>
      </c>
      <c r="B65" s="129">
        <v>2456.63</v>
      </c>
      <c r="C65" s="129">
        <v>2564.155</v>
      </c>
      <c r="D65" s="130">
        <v>2626.14</v>
      </c>
      <c r="E65" s="129">
        <v>2765.29</v>
      </c>
      <c r="F65" s="129">
        <v>2838.66</v>
      </c>
      <c r="G65" s="130">
        <v>2925.945</v>
      </c>
      <c r="H65" s="129">
        <v>3061.3</v>
      </c>
      <c r="I65" s="129">
        <v>3202.98</v>
      </c>
      <c r="J65" s="130">
        <v>3453.45</v>
      </c>
      <c r="K65" s="129">
        <v>3579.95</v>
      </c>
      <c r="L65" s="129">
        <v>3724.16</v>
      </c>
      <c r="M65" s="129">
        <v>3867.105</v>
      </c>
      <c r="N65" s="130">
        <v>4198.535</v>
      </c>
      <c r="O65" s="129">
        <v>4547.675</v>
      </c>
      <c r="P65" s="129">
        <v>5043.555</v>
      </c>
    </row>
    <row r="66" ht="21" customHeight="1" spans="1:16">
      <c r="A66" s="115" t="s">
        <v>42</v>
      </c>
      <c r="B66" s="129">
        <v>704.605</v>
      </c>
      <c r="C66" s="129">
        <v>713.46</v>
      </c>
      <c r="D66" s="130">
        <v>719.785</v>
      </c>
      <c r="E66" s="129">
        <v>727.375</v>
      </c>
      <c r="F66" s="129">
        <v>736.23</v>
      </c>
      <c r="G66" s="130">
        <v>743.82</v>
      </c>
      <c r="H66" s="129">
        <v>779.24</v>
      </c>
      <c r="I66" s="129">
        <v>796.95</v>
      </c>
      <c r="J66" s="130">
        <v>881.705</v>
      </c>
      <c r="K66" s="129">
        <v>886.765</v>
      </c>
      <c r="L66" s="129">
        <v>899.415</v>
      </c>
      <c r="M66" s="129">
        <v>904.475</v>
      </c>
      <c r="N66" s="130">
        <v>1000.615</v>
      </c>
      <c r="O66" s="129">
        <v>1024.65</v>
      </c>
      <c r="P66" s="129">
        <v>1122.055</v>
      </c>
    </row>
    <row r="67" ht="77.25" customHeight="1" spans="1:16">
      <c r="A67" s="122"/>
      <c r="B67" s="15"/>
      <c r="C67" s="15"/>
      <c r="D67" s="15"/>
      <c r="E67" s="15"/>
      <c r="F67" s="15"/>
      <c r="G67" s="15"/>
      <c r="H67" s="15"/>
      <c r="I67" s="15"/>
      <c r="J67" s="51"/>
      <c r="K67" s="15"/>
      <c r="L67" s="15"/>
      <c r="M67" s="15"/>
      <c r="N67" s="51"/>
      <c r="O67" s="15"/>
      <c r="P67" s="15"/>
    </row>
    <row r="68" ht="24" customHeight="1" spans="1:16">
      <c r="A68" s="120" t="s">
        <v>35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20.25" customHeight="1" spans="1:16">
      <c r="A69" s="122"/>
      <c r="B69" s="134"/>
      <c r="C69" s="134"/>
      <c r="D69" s="134"/>
      <c r="E69" s="134"/>
      <c r="F69" s="134"/>
      <c r="G69" s="134"/>
      <c r="H69" s="134"/>
      <c r="I69" s="134"/>
      <c r="J69" s="135"/>
      <c r="K69" s="134"/>
      <c r="L69" s="134"/>
      <c r="M69" s="134"/>
      <c r="N69" s="135"/>
      <c r="O69" s="134"/>
      <c r="P69" s="134"/>
    </row>
    <row r="70" ht="26.25" customHeight="1" spans="1:16">
      <c r="A70" s="136" t="s">
        <v>43</v>
      </c>
    </row>
    <row r="71" ht="20.25" customHeight="1" spans="1:16">
      <c r="A71" s="124"/>
      <c r="B71" s="125" t="s">
        <v>2</v>
      </c>
      <c r="C71" s="125" t="s">
        <v>3</v>
      </c>
      <c r="D71" s="125" t="s">
        <v>4</v>
      </c>
      <c r="E71" s="125" t="s">
        <v>5</v>
      </c>
      <c r="F71" s="125" t="s">
        <v>6</v>
      </c>
      <c r="G71" s="125" t="s">
        <v>7</v>
      </c>
      <c r="H71" s="125" t="s">
        <v>8</v>
      </c>
      <c r="I71" s="125" t="s">
        <v>9</v>
      </c>
      <c r="J71" s="125" t="s">
        <v>10</v>
      </c>
      <c r="K71" s="125" t="s">
        <v>11</v>
      </c>
      <c r="L71" s="125" t="s">
        <v>12</v>
      </c>
      <c r="M71" s="125" t="s">
        <v>13</v>
      </c>
      <c r="N71" s="125" t="s">
        <v>14</v>
      </c>
      <c r="O71" s="125" t="s">
        <v>15</v>
      </c>
      <c r="P71" s="125" t="s">
        <v>16</v>
      </c>
    </row>
    <row r="72" ht="20.25" customHeight="1" spans="1:16">
      <c r="A72" s="115" t="s">
        <v>17</v>
      </c>
      <c r="B72" s="129">
        <v>1210.605</v>
      </c>
      <c r="C72" s="129">
        <v>1285.24</v>
      </c>
      <c r="D72" s="130">
        <v>1390.235</v>
      </c>
      <c r="E72" s="129">
        <v>1454.75</v>
      </c>
      <c r="F72" s="129">
        <v>1539.505</v>
      </c>
      <c r="G72" s="130">
        <v>1659.68</v>
      </c>
      <c r="H72" s="129">
        <v>1774.795</v>
      </c>
      <c r="I72" s="129">
        <v>1950.63</v>
      </c>
      <c r="J72" s="130">
        <v>2196.04</v>
      </c>
      <c r="K72" s="129">
        <v>2344.045</v>
      </c>
      <c r="L72" s="129">
        <v>2435.125</v>
      </c>
      <c r="M72" s="129">
        <v>2552.77</v>
      </c>
      <c r="N72" s="130">
        <v>2703.305</v>
      </c>
      <c r="O72" s="129">
        <v>3138.465</v>
      </c>
      <c r="P72" s="129">
        <v>3426.885</v>
      </c>
    </row>
    <row r="73" ht="20.25" customHeight="1" spans="1:16">
      <c r="A73" s="115" t="s">
        <v>18</v>
      </c>
      <c r="B73" s="129">
        <v>985.435</v>
      </c>
      <c r="C73" s="129">
        <v>1042.36</v>
      </c>
      <c r="D73" s="130">
        <v>1168.86</v>
      </c>
      <c r="E73" s="129">
        <v>1232.11</v>
      </c>
      <c r="F73" s="129">
        <v>1321.925</v>
      </c>
      <c r="G73" s="130">
        <v>1391.5</v>
      </c>
      <c r="H73" s="129">
        <v>1471.195</v>
      </c>
      <c r="I73" s="129">
        <v>1752.025</v>
      </c>
      <c r="J73" s="130">
        <v>1897.5</v>
      </c>
      <c r="K73" s="129">
        <v>2024</v>
      </c>
      <c r="L73" s="129">
        <v>2125.2</v>
      </c>
      <c r="M73" s="129">
        <v>2265.615</v>
      </c>
      <c r="N73" s="130">
        <v>2435.125</v>
      </c>
      <c r="O73" s="129">
        <v>2560.36</v>
      </c>
      <c r="P73" s="129">
        <v>2846.25</v>
      </c>
    </row>
    <row r="74" ht="20.25" customHeight="1" spans="1:16">
      <c r="A74" s="115" t="s">
        <v>19</v>
      </c>
      <c r="B74" s="129">
        <v>760.265</v>
      </c>
      <c r="C74" s="129">
        <v>850.08</v>
      </c>
      <c r="D74" s="130">
        <v>925.98</v>
      </c>
      <c r="E74" s="129">
        <v>985.435</v>
      </c>
      <c r="F74" s="129">
        <v>1137.235</v>
      </c>
      <c r="G74" s="130">
        <v>1201.75</v>
      </c>
      <c r="H74" s="129">
        <v>1283.975</v>
      </c>
      <c r="I74" s="129">
        <v>1391.5</v>
      </c>
      <c r="J74" s="130">
        <v>1518</v>
      </c>
      <c r="K74" s="129">
        <v>1644.5</v>
      </c>
      <c r="L74" s="129">
        <v>1707.75</v>
      </c>
      <c r="M74" s="129">
        <v>1771</v>
      </c>
      <c r="N74" s="130">
        <v>1910.15</v>
      </c>
      <c r="O74" s="129">
        <v>2150.5</v>
      </c>
      <c r="P74" s="129">
        <v>2340.25</v>
      </c>
    </row>
    <row r="75" ht="20.25" customHeight="1" spans="1:16">
      <c r="A75" s="115" t="s">
        <v>20</v>
      </c>
      <c r="B75" s="129">
        <v>643.885</v>
      </c>
      <c r="C75" s="129">
        <v>702.075</v>
      </c>
      <c r="D75" s="130">
        <v>809.6</v>
      </c>
      <c r="E75" s="129">
        <v>872.85</v>
      </c>
      <c r="F75" s="129">
        <v>980.375</v>
      </c>
      <c r="G75" s="130">
        <v>1052.48</v>
      </c>
      <c r="H75" s="129">
        <v>1123.32</v>
      </c>
      <c r="I75" s="129">
        <v>1228.315</v>
      </c>
      <c r="J75" s="130">
        <v>1466.135</v>
      </c>
      <c r="K75" s="129">
        <v>1481.315</v>
      </c>
      <c r="L75" s="129">
        <v>1535.71</v>
      </c>
      <c r="M75" s="129">
        <v>1586.31</v>
      </c>
      <c r="N75" s="130">
        <v>1807.685</v>
      </c>
      <c r="O75" s="129">
        <v>1974.665</v>
      </c>
      <c r="P75" s="129">
        <v>2285.855</v>
      </c>
    </row>
    <row r="76" ht="20.25" customHeight="1" spans="1:16">
      <c r="A76" s="115" t="s">
        <v>21</v>
      </c>
      <c r="B76" s="129">
        <v>629.97</v>
      </c>
      <c r="C76" s="129">
        <v>661.595</v>
      </c>
      <c r="D76" s="130">
        <v>707.135</v>
      </c>
      <c r="E76" s="129">
        <v>734.965</v>
      </c>
      <c r="F76" s="129">
        <v>770.385</v>
      </c>
      <c r="G76" s="130">
        <v>822.25</v>
      </c>
      <c r="H76" s="129">
        <v>875.38</v>
      </c>
      <c r="I76" s="129">
        <v>950.015</v>
      </c>
      <c r="J76" s="130">
        <v>1135.97</v>
      </c>
      <c r="K76" s="129">
        <v>1146.09</v>
      </c>
      <c r="L76" s="129">
        <v>1185.305</v>
      </c>
      <c r="M76" s="129">
        <v>1224.52</v>
      </c>
      <c r="N76" s="130">
        <v>1394.03</v>
      </c>
      <c r="O76" s="129">
        <v>1515.47</v>
      </c>
      <c r="P76" s="129">
        <v>1754.555</v>
      </c>
    </row>
    <row r="77" ht="20.25" customHeight="1" spans="1:16">
      <c r="A77" s="115" t="s">
        <v>22</v>
      </c>
      <c r="B77" s="129">
        <v>436.425</v>
      </c>
      <c r="C77" s="129">
        <v>454.135</v>
      </c>
      <c r="D77" s="130">
        <v>481.965</v>
      </c>
      <c r="E77" s="129">
        <v>498.41</v>
      </c>
      <c r="F77" s="129">
        <v>519.915</v>
      </c>
      <c r="G77" s="130">
        <v>550.275</v>
      </c>
      <c r="H77" s="129">
        <v>584.43</v>
      </c>
      <c r="I77" s="129">
        <v>629.97</v>
      </c>
      <c r="J77" s="130">
        <v>761.53</v>
      </c>
      <c r="K77" s="129">
        <v>767.855</v>
      </c>
      <c r="L77" s="129">
        <v>790.625</v>
      </c>
      <c r="M77" s="129">
        <v>814.66</v>
      </c>
      <c r="N77" s="130">
        <v>937.365</v>
      </c>
      <c r="O77" s="129">
        <v>1009.47</v>
      </c>
      <c r="P77" s="129">
        <v>1175.185</v>
      </c>
    </row>
    <row r="78" ht="20.25" customHeight="1" spans="1:16">
      <c r="A78" s="115" t="s">
        <v>23</v>
      </c>
      <c r="B78" s="129">
        <v>1137.235</v>
      </c>
      <c r="C78" s="129">
        <v>1272.59</v>
      </c>
      <c r="D78" s="130">
        <v>1391.5</v>
      </c>
      <c r="E78" s="129">
        <v>1496.495</v>
      </c>
      <c r="F78" s="129">
        <v>1653.355</v>
      </c>
      <c r="G78" s="130">
        <v>1772.265</v>
      </c>
      <c r="H78" s="129">
        <v>1973.4</v>
      </c>
      <c r="I78" s="129">
        <v>2053.095</v>
      </c>
      <c r="J78" s="130">
        <v>2330.13</v>
      </c>
      <c r="K78" s="129">
        <v>2462.955</v>
      </c>
      <c r="L78" s="129">
        <v>2570.48</v>
      </c>
      <c r="M78" s="129">
        <v>2691.92</v>
      </c>
      <c r="N78" s="130">
        <v>2944.92</v>
      </c>
      <c r="O78" s="129">
        <v>3276.35</v>
      </c>
      <c r="P78" s="129">
        <v>3579.95</v>
      </c>
    </row>
    <row r="79" ht="18.75" customHeight="1" spans="1:16">
      <c r="A79" s="115" t="s">
        <v>24</v>
      </c>
      <c r="B79" s="129">
        <v>1073.985</v>
      </c>
      <c r="C79" s="129">
        <v>1209.34</v>
      </c>
      <c r="D79" s="130">
        <v>1328.25</v>
      </c>
      <c r="E79" s="129">
        <v>1433.245</v>
      </c>
      <c r="F79" s="129">
        <v>1590.105</v>
      </c>
      <c r="G79" s="130">
        <v>1709.015</v>
      </c>
      <c r="H79" s="129">
        <v>1910.15</v>
      </c>
      <c r="I79" s="129">
        <v>1989.845</v>
      </c>
      <c r="J79" s="130">
        <v>2266.88</v>
      </c>
      <c r="K79" s="129">
        <v>2399.705</v>
      </c>
      <c r="L79" s="129">
        <v>2507.23</v>
      </c>
      <c r="M79" s="129">
        <v>2628.67</v>
      </c>
      <c r="N79" s="130">
        <v>2881.67</v>
      </c>
      <c r="O79" s="129">
        <v>3213.1</v>
      </c>
      <c r="P79" s="129">
        <v>3516.7</v>
      </c>
    </row>
    <row r="80" ht="20.25" customHeight="1" spans="1:16">
      <c r="A80" s="115" t="s">
        <v>25</v>
      </c>
      <c r="B80" s="129">
        <v>938.63</v>
      </c>
      <c r="C80" s="129">
        <v>996.82</v>
      </c>
      <c r="D80" s="130">
        <v>1086.635</v>
      </c>
      <c r="E80" s="129">
        <v>1184.04</v>
      </c>
      <c r="F80" s="129">
        <v>1276.385</v>
      </c>
      <c r="G80" s="130">
        <v>1330.78</v>
      </c>
      <c r="H80" s="129">
        <v>1477.52</v>
      </c>
      <c r="I80" s="129">
        <v>1760.88</v>
      </c>
      <c r="J80" s="130">
        <v>1812.745</v>
      </c>
      <c r="K80" s="129">
        <v>1936.715</v>
      </c>
      <c r="L80" s="129">
        <v>2115.08</v>
      </c>
      <c r="M80" s="129">
        <v>2338.985</v>
      </c>
      <c r="N80" s="130">
        <v>2665.355</v>
      </c>
      <c r="O80" s="129">
        <v>3024.615</v>
      </c>
      <c r="P80" s="129">
        <v>3163.765</v>
      </c>
    </row>
    <row r="81" ht="20.25" customHeight="1" spans="1:16">
      <c r="A81" s="115" t="s">
        <v>37</v>
      </c>
      <c r="B81" s="129">
        <v>1410.475</v>
      </c>
      <c r="C81" s="129">
        <v>1500.29</v>
      </c>
      <c r="D81" s="130">
        <v>1557.215</v>
      </c>
      <c r="E81" s="129">
        <v>1754.555</v>
      </c>
      <c r="F81" s="129">
        <v>1853.225</v>
      </c>
      <c r="G81" s="130">
        <v>2050.565</v>
      </c>
      <c r="H81" s="129">
        <v>2183.39</v>
      </c>
      <c r="I81" s="129">
        <v>2507.23</v>
      </c>
      <c r="J81" s="130">
        <v>2925.945</v>
      </c>
      <c r="K81" s="129">
        <v>3163.765</v>
      </c>
      <c r="L81" s="129">
        <v>3567.3</v>
      </c>
      <c r="M81" s="129">
        <v>3745.665</v>
      </c>
      <c r="N81" s="130">
        <v>4436.355</v>
      </c>
      <c r="O81" s="129">
        <v>4890.49</v>
      </c>
      <c r="P81" s="129">
        <v>5123.25</v>
      </c>
    </row>
    <row r="82" ht="20.25" customHeight="1" spans="1:16">
      <c r="A82" s="115" t="s">
        <v>44</v>
      </c>
      <c r="B82" s="129">
        <v>2024</v>
      </c>
      <c r="C82" s="129">
        <v>2085.985</v>
      </c>
      <c r="D82" s="130">
        <v>2159.355</v>
      </c>
      <c r="E82" s="129">
        <v>2235.255</v>
      </c>
      <c r="F82" s="129">
        <v>2316.215</v>
      </c>
      <c r="G82" s="130">
        <v>2400.97</v>
      </c>
      <c r="H82" s="129">
        <v>2584.395</v>
      </c>
      <c r="I82" s="129">
        <v>2780.47</v>
      </c>
      <c r="J82" s="130">
        <v>3152.38</v>
      </c>
      <c r="K82" s="129">
        <v>3268.76</v>
      </c>
      <c r="L82" s="129">
        <v>3388.935</v>
      </c>
      <c r="M82" s="129">
        <v>3514.17</v>
      </c>
      <c r="N82" s="130">
        <v>3960.715</v>
      </c>
      <c r="O82" s="129">
        <v>4400.935</v>
      </c>
      <c r="P82" s="129">
        <v>4930.97</v>
      </c>
    </row>
    <row r="83" ht="19.5" customHeight="1" spans="1:16">
      <c r="A83" s="115" t="s">
        <v>45</v>
      </c>
      <c r="B83" s="129">
        <v>2443.98</v>
      </c>
      <c r="C83" s="129">
        <v>2546.445</v>
      </c>
      <c r="D83" s="130">
        <v>2661.56</v>
      </c>
      <c r="E83" s="129">
        <v>2783</v>
      </c>
      <c r="F83" s="129">
        <v>2910.765</v>
      </c>
      <c r="G83" s="130">
        <v>3044.855</v>
      </c>
      <c r="H83" s="129">
        <v>3307.975</v>
      </c>
      <c r="I83" s="129">
        <v>3617.9</v>
      </c>
      <c r="J83" s="130">
        <v>4149.2</v>
      </c>
      <c r="K83" s="129">
        <v>4333.89</v>
      </c>
      <c r="L83" s="129">
        <v>4621.045</v>
      </c>
      <c r="M83" s="129">
        <v>4834.83</v>
      </c>
      <c r="N83" s="130">
        <v>5516.665</v>
      </c>
      <c r="O83" s="129">
        <v>6269.34</v>
      </c>
      <c r="P83" s="129">
        <v>7089.06</v>
      </c>
    </row>
    <row r="84" ht="20.25" customHeight="1" spans="1:16">
      <c r="A84" s="115" t="s">
        <v>46</v>
      </c>
      <c r="B84" s="129">
        <v>3186.535</v>
      </c>
      <c r="C84" s="129">
        <v>3328.215</v>
      </c>
      <c r="D84" s="130">
        <v>3486.34</v>
      </c>
      <c r="E84" s="129">
        <v>3652.055</v>
      </c>
      <c r="F84" s="129">
        <v>3827.89</v>
      </c>
      <c r="G84" s="130">
        <v>3943.005</v>
      </c>
      <c r="H84" s="129">
        <v>4389.55</v>
      </c>
      <c r="I84" s="129">
        <v>4852.54</v>
      </c>
      <c r="J84" s="130">
        <v>5596.36</v>
      </c>
      <c r="K84" s="129">
        <v>5872.13</v>
      </c>
      <c r="L84" s="129">
        <v>6159.285</v>
      </c>
      <c r="M84" s="129">
        <v>6455.295</v>
      </c>
      <c r="N84" s="130">
        <v>7377.48</v>
      </c>
      <c r="O84" s="129">
        <v>8427.43</v>
      </c>
      <c r="P84" s="129">
        <v>9544.425</v>
      </c>
    </row>
    <row r="85" ht="20.25" customHeight="1" spans="1:16">
      <c r="A85" s="115" t="s">
        <v>29</v>
      </c>
      <c r="B85" s="129">
        <v>1817.805</v>
      </c>
      <c r="C85" s="129">
        <v>1911.415</v>
      </c>
      <c r="D85" s="130">
        <v>1963.28</v>
      </c>
      <c r="E85" s="129">
        <v>2091.045</v>
      </c>
      <c r="F85" s="129">
        <v>2154.295</v>
      </c>
      <c r="G85" s="130">
        <v>2230.195</v>
      </c>
      <c r="H85" s="129">
        <v>2497.11</v>
      </c>
      <c r="I85" s="129">
        <v>2629.935</v>
      </c>
      <c r="J85" s="130">
        <v>2980.34</v>
      </c>
      <c r="K85" s="129">
        <v>3103.045</v>
      </c>
      <c r="L85" s="129">
        <v>3244.725</v>
      </c>
      <c r="M85" s="129">
        <v>3391.465</v>
      </c>
      <c r="N85" s="130">
        <v>3851.925</v>
      </c>
      <c r="O85" s="129">
        <v>4199.8</v>
      </c>
      <c r="P85" s="129">
        <v>4875.31</v>
      </c>
    </row>
    <row r="86" ht="20.25" customHeight="1" spans="1:16">
      <c r="A86" s="115" t="s">
        <v>30</v>
      </c>
      <c r="B86" s="129">
        <v>778.55</v>
      </c>
      <c r="C86" s="129">
        <v>795.685</v>
      </c>
      <c r="D86" s="130">
        <v>813.395</v>
      </c>
      <c r="E86" s="129">
        <v>831.105</v>
      </c>
      <c r="F86" s="129">
        <v>851.345</v>
      </c>
      <c r="G86" s="130">
        <v>871.585</v>
      </c>
      <c r="H86" s="129">
        <v>920.92</v>
      </c>
      <c r="I86" s="129">
        <v>968.99</v>
      </c>
      <c r="J86" s="130">
        <v>1051.215</v>
      </c>
      <c r="K86" s="129">
        <v>1079.045</v>
      </c>
      <c r="L86" s="129">
        <v>1110.67</v>
      </c>
      <c r="M86" s="129">
        <v>1138.5</v>
      </c>
      <c r="N86" s="130">
        <v>1240.965</v>
      </c>
      <c r="O86" s="129">
        <v>1351.02</v>
      </c>
      <c r="P86" s="129">
        <v>1478.785</v>
      </c>
    </row>
    <row r="87" ht="20.25" customHeight="1" spans="1:16">
      <c r="A87" s="115" t="s">
        <v>31</v>
      </c>
      <c r="B87" s="129">
        <v>1027.18</v>
      </c>
      <c r="C87" s="129">
        <v>1041.095</v>
      </c>
      <c r="D87" s="130">
        <v>1056.275</v>
      </c>
      <c r="E87" s="129">
        <v>1071.455</v>
      </c>
      <c r="F87" s="129">
        <v>1087.9</v>
      </c>
      <c r="G87" s="130">
        <v>1104.345</v>
      </c>
      <c r="H87" s="129">
        <v>1163.8</v>
      </c>
      <c r="I87" s="129">
        <v>1201.75</v>
      </c>
      <c r="J87" s="130">
        <v>1289.035</v>
      </c>
      <c r="K87" s="129">
        <v>1310.54</v>
      </c>
      <c r="L87" s="129">
        <v>1333.31</v>
      </c>
      <c r="M87" s="129">
        <v>1356.08</v>
      </c>
      <c r="N87" s="130">
        <v>1456.015</v>
      </c>
      <c r="O87" s="129">
        <v>1536.975</v>
      </c>
      <c r="P87" s="129">
        <v>1649.56</v>
      </c>
    </row>
    <row r="88" ht="20.25" customHeight="1" spans="1:16">
      <c r="A88" s="115" t="s">
        <v>32</v>
      </c>
      <c r="B88" s="129">
        <v>0</v>
      </c>
      <c r="C88" s="129">
        <v>0</v>
      </c>
      <c r="D88" s="130">
        <v>0</v>
      </c>
      <c r="E88" s="129">
        <v>0</v>
      </c>
      <c r="F88" s="129">
        <v>0</v>
      </c>
      <c r="G88" s="130">
        <v>0</v>
      </c>
      <c r="H88" s="129">
        <v>841.225</v>
      </c>
      <c r="I88" s="129">
        <v>888.03</v>
      </c>
      <c r="J88" s="130">
        <v>972.785</v>
      </c>
      <c r="K88" s="129">
        <v>1000.615</v>
      </c>
      <c r="L88" s="129">
        <v>1032.24</v>
      </c>
      <c r="M88" s="129">
        <v>1060.07</v>
      </c>
      <c r="N88" s="130">
        <v>1213.135</v>
      </c>
      <c r="O88" s="129">
        <v>1320.66</v>
      </c>
      <c r="P88" s="129">
        <v>1447.16</v>
      </c>
    </row>
    <row r="89" ht="20.25" customHeight="1" spans="1:16">
      <c r="A89" s="115" t="s">
        <v>33</v>
      </c>
      <c r="B89" s="129">
        <v>703.34</v>
      </c>
      <c r="C89" s="129">
        <v>709.665</v>
      </c>
      <c r="D89" s="130">
        <v>713.46</v>
      </c>
      <c r="E89" s="129">
        <v>719.785</v>
      </c>
      <c r="F89" s="129">
        <v>726.11</v>
      </c>
      <c r="G89" s="130">
        <v>731.17</v>
      </c>
      <c r="H89" s="129">
        <v>760.265</v>
      </c>
      <c r="I89" s="129">
        <v>772.915</v>
      </c>
      <c r="J89" s="130">
        <v>855.14</v>
      </c>
      <c r="K89" s="129">
        <v>858.935</v>
      </c>
      <c r="L89" s="129">
        <v>871.585</v>
      </c>
      <c r="M89" s="129">
        <v>871.585</v>
      </c>
      <c r="N89" s="130">
        <v>962.665</v>
      </c>
      <c r="O89" s="129">
        <v>980.375</v>
      </c>
      <c r="P89" s="129">
        <v>948.75</v>
      </c>
    </row>
    <row r="90" ht="20.25" customHeight="1" spans="1:16">
      <c r="A90" s="115" t="s">
        <v>34</v>
      </c>
      <c r="B90" s="129">
        <v>788.095</v>
      </c>
      <c r="C90" s="129">
        <v>803.275</v>
      </c>
      <c r="D90" s="130">
        <v>820.985</v>
      </c>
      <c r="E90" s="129">
        <v>834.9</v>
      </c>
      <c r="F90" s="129">
        <v>851.345</v>
      </c>
      <c r="G90" s="130">
        <v>869.055</v>
      </c>
      <c r="H90" s="129">
        <v>918.39</v>
      </c>
      <c r="I90" s="129">
        <v>956.34</v>
      </c>
      <c r="J90" s="130">
        <v>979.11</v>
      </c>
      <c r="K90" s="129">
        <v>9988.44</v>
      </c>
      <c r="L90" s="129">
        <v>1000.615</v>
      </c>
      <c r="M90" s="129">
        <v>1025.915</v>
      </c>
      <c r="N90" s="130">
        <v>1111.935</v>
      </c>
      <c r="O90" s="129">
        <v>1170.125</v>
      </c>
      <c r="P90" s="129">
        <v>1297.89</v>
      </c>
    </row>
    <row r="91" ht="51.75" customHeight="1" spans="1:16">
      <c r="A91" s="122"/>
      <c r="B91" s="15"/>
      <c r="C91" s="15"/>
      <c r="D91" s="15"/>
      <c r="E91" s="15"/>
      <c r="F91" s="15"/>
      <c r="G91" s="15"/>
      <c r="H91" s="15"/>
      <c r="I91" s="15"/>
      <c r="J91" s="51"/>
      <c r="K91" s="15"/>
      <c r="L91" s="15"/>
      <c r="M91" s="15"/>
      <c r="N91" s="51"/>
      <c r="O91" s="15"/>
      <c r="P91" s="15"/>
    </row>
    <row r="92" ht="24" customHeight="1" spans="1:16">
      <c r="A92" s="120" t="s">
        <v>35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ht="20.25" customHeight="1" spans="1:16">
      <c r="A93" s="122"/>
      <c r="B93" s="134"/>
      <c r="C93" s="134"/>
      <c r="D93" s="134"/>
      <c r="E93" s="134"/>
      <c r="F93" s="134"/>
      <c r="G93" s="134"/>
      <c r="H93" s="134"/>
      <c r="I93" s="134"/>
      <c r="J93" s="135"/>
      <c r="K93" s="134"/>
      <c r="L93" s="134"/>
      <c r="M93" s="134"/>
      <c r="N93" s="135"/>
      <c r="O93" s="134"/>
      <c r="P93" s="134"/>
    </row>
    <row r="94" ht="26.25" customHeight="1" spans="1:16">
      <c r="A94" s="136" t="s">
        <v>47</v>
      </c>
    </row>
    <row r="95" ht="20.25" customHeight="1" spans="1:16">
      <c r="A95" s="124"/>
      <c r="B95" s="125" t="s">
        <v>2</v>
      </c>
      <c r="C95" s="125" t="s">
        <v>3</v>
      </c>
      <c r="D95" s="125" t="s">
        <v>4</v>
      </c>
      <c r="E95" s="125" t="s">
        <v>5</v>
      </c>
      <c r="F95" s="125" t="s">
        <v>6</v>
      </c>
      <c r="G95" s="125" t="s">
        <v>7</v>
      </c>
      <c r="H95" s="125" t="s">
        <v>8</v>
      </c>
      <c r="I95" s="125" t="s">
        <v>9</v>
      </c>
      <c r="J95" s="125" t="s">
        <v>10</v>
      </c>
      <c r="K95" s="125" t="s">
        <v>11</v>
      </c>
      <c r="L95" s="125" t="s">
        <v>12</v>
      </c>
      <c r="M95" s="125" t="s">
        <v>13</v>
      </c>
      <c r="N95" s="125" t="s">
        <v>14</v>
      </c>
      <c r="O95" s="125" t="s">
        <v>15</v>
      </c>
      <c r="P95" s="125" t="s">
        <v>16</v>
      </c>
    </row>
    <row r="96" ht="21" customHeight="1" spans="1:16">
      <c r="A96" s="140" t="s">
        <v>17</v>
      </c>
      <c r="B96" s="8">
        <v>1677.39</v>
      </c>
      <c r="C96" s="8">
        <v>1901.295</v>
      </c>
      <c r="D96" s="88">
        <v>1992.375</v>
      </c>
      <c r="E96" s="8">
        <v>2169.475</v>
      </c>
      <c r="F96" s="8">
        <v>2303.565</v>
      </c>
      <c r="G96" s="88">
        <v>2493.315</v>
      </c>
      <c r="H96" s="8">
        <v>2670.415</v>
      </c>
      <c r="I96" s="8">
        <v>2949.98</v>
      </c>
      <c r="J96" s="88">
        <v>3307.975</v>
      </c>
      <c r="K96" s="8">
        <v>3345.925</v>
      </c>
      <c r="L96" s="8">
        <v>3481.28</v>
      </c>
      <c r="M96" s="8">
        <v>3617.9</v>
      </c>
      <c r="N96" s="88">
        <v>4077.095</v>
      </c>
      <c r="O96" s="8">
        <v>4498.34</v>
      </c>
      <c r="P96" s="8">
        <v>5189.03</v>
      </c>
    </row>
    <row r="97" ht="21" customHeight="1" spans="1:16">
      <c r="A97" s="115" t="s">
        <v>18</v>
      </c>
      <c r="B97" s="129">
        <v>1511.675</v>
      </c>
      <c r="C97" s="129">
        <v>1619.2</v>
      </c>
      <c r="D97" s="130">
        <v>1768.47</v>
      </c>
      <c r="E97" s="129">
        <v>1860.815</v>
      </c>
      <c r="F97" s="129">
        <v>1982.255</v>
      </c>
      <c r="G97" s="130">
        <v>2153.03</v>
      </c>
      <c r="H97" s="129">
        <v>2313.685</v>
      </c>
      <c r="I97" s="129">
        <v>2565.42</v>
      </c>
      <c r="J97" s="130">
        <v>3066.36</v>
      </c>
      <c r="K97" s="129">
        <v>3103.045</v>
      </c>
      <c r="L97" s="129">
        <v>3233.34</v>
      </c>
      <c r="M97" s="129">
        <v>3363.635</v>
      </c>
      <c r="N97" s="130">
        <v>3807.65</v>
      </c>
      <c r="O97" s="129">
        <v>4211.185</v>
      </c>
      <c r="P97" s="129">
        <v>4877.84</v>
      </c>
    </row>
    <row r="98" ht="21" customHeight="1" spans="1:16">
      <c r="A98" s="115" t="s">
        <v>19</v>
      </c>
      <c r="B98" s="129">
        <v>1259.94</v>
      </c>
      <c r="C98" s="129">
        <v>1345.96</v>
      </c>
      <c r="D98" s="130">
        <v>1617.935</v>
      </c>
      <c r="E98" s="129">
        <v>1702.69</v>
      </c>
      <c r="F98" s="129">
        <v>1811.48</v>
      </c>
      <c r="G98" s="130">
        <v>1965.81</v>
      </c>
      <c r="H98" s="129">
        <v>2112.55</v>
      </c>
      <c r="I98" s="129">
        <v>2338.985</v>
      </c>
      <c r="J98" s="130">
        <v>2715.955</v>
      </c>
      <c r="K98" s="129">
        <v>2831.07</v>
      </c>
      <c r="L98" s="129">
        <v>2948.715</v>
      </c>
      <c r="M98" s="129">
        <v>3066.36</v>
      </c>
      <c r="N98" s="130">
        <v>3472.425</v>
      </c>
      <c r="O98" s="129">
        <v>3838.01</v>
      </c>
      <c r="P98" s="129">
        <v>4446.475</v>
      </c>
    </row>
    <row r="99" ht="21" customHeight="1" spans="1:16">
      <c r="A99" s="115" t="s">
        <v>20</v>
      </c>
      <c r="B99" s="129">
        <v>1122.055</v>
      </c>
      <c r="C99" s="129">
        <v>1190.365</v>
      </c>
      <c r="D99" s="130">
        <v>1283.975</v>
      </c>
      <c r="E99" s="129">
        <v>1342.165</v>
      </c>
      <c r="F99" s="129">
        <v>1419.33</v>
      </c>
      <c r="G99" s="130">
        <v>1526.855</v>
      </c>
      <c r="H99" s="129">
        <v>1631.85</v>
      </c>
      <c r="I99" s="129">
        <v>1791.24</v>
      </c>
      <c r="J99" s="130">
        <v>2002.495</v>
      </c>
      <c r="K99" s="129">
        <v>2151.765</v>
      </c>
      <c r="L99" s="129">
        <v>2233.99</v>
      </c>
      <c r="M99" s="129">
        <v>2316.215</v>
      </c>
      <c r="N99" s="130">
        <v>2618.55</v>
      </c>
      <c r="O99" s="129">
        <v>2874.08</v>
      </c>
      <c r="P99" s="129">
        <v>3318.095</v>
      </c>
    </row>
    <row r="100" ht="21" customHeight="1" spans="1:16">
      <c r="A100" s="115" t="s">
        <v>21</v>
      </c>
      <c r="B100" s="129">
        <v>890.56</v>
      </c>
      <c r="C100" s="129">
        <v>938.63</v>
      </c>
      <c r="D100" s="130">
        <v>1005.675</v>
      </c>
      <c r="E100" s="129">
        <v>1047.42</v>
      </c>
      <c r="F100" s="129">
        <v>1101.815</v>
      </c>
      <c r="G100" s="130">
        <v>1178.98</v>
      </c>
      <c r="H100" s="129">
        <v>1258.675</v>
      </c>
      <c r="I100" s="129">
        <v>1371.26</v>
      </c>
      <c r="J100" s="130">
        <v>1629.32</v>
      </c>
      <c r="K100" s="129">
        <v>1645.765</v>
      </c>
      <c r="L100" s="129">
        <v>1705.22</v>
      </c>
      <c r="M100" s="129">
        <v>1763.41</v>
      </c>
      <c r="N100" s="130">
        <v>1997.435</v>
      </c>
      <c r="O100" s="129">
        <v>2180.86</v>
      </c>
      <c r="P100" s="129">
        <v>2517.35</v>
      </c>
    </row>
    <row r="101" ht="21" customHeight="1" spans="1:16">
      <c r="A101" s="115" t="s">
        <v>22</v>
      </c>
      <c r="B101" s="129">
        <v>613.525</v>
      </c>
      <c r="C101" s="129">
        <v>642.62</v>
      </c>
      <c r="D101" s="130">
        <v>683.1</v>
      </c>
      <c r="E101" s="129">
        <v>708.4</v>
      </c>
      <c r="F101" s="129">
        <v>741.29</v>
      </c>
      <c r="G101" s="130">
        <v>788.095</v>
      </c>
      <c r="H101" s="129">
        <v>837.43</v>
      </c>
      <c r="I101" s="129">
        <v>905.74</v>
      </c>
      <c r="J101" s="130">
        <v>1082.84</v>
      </c>
      <c r="K101" s="129">
        <v>1092.96</v>
      </c>
      <c r="L101" s="129">
        <v>1128.38</v>
      </c>
      <c r="M101" s="129">
        <v>1163.8</v>
      </c>
      <c r="N101" s="130">
        <v>1326.985</v>
      </c>
      <c r="O101" s="129">
        <v>1437.04</v>
      </c>
      <c r="P101" s="129">
        <v>1663.475</v>
      </c>
    </row>
    <row r="102" ht="21" customHeight="1" spans="1:16">
      <c r="A102" s="115" t="s">
        <v>23</v>
      </c>
      <c r="B102" s="129">
        <v>1906.355</v>
      </c>
      <c r="C102" s="129">
        <v>2039.18</v>
      </c>
      <c r="D102" s="130">
        <v>2222.605</v>
      </c>
      <c r="E102" s="129">
        <v>2400.97</v>
      </c>
      <c r="F102" s="129">
        <v>2548.975</v>
      </c>
      <c r="G102" s="130">
        <v>2758.965</v>
      </c>
      <c r="H102" s="129">
        <v>3079.01</v>
      </c>
      <c r="I102" s="129">
        <v>3400.32</v>
      </c>
      <c r="J102" s="130">
        <v>3883.55</v>
      </c>
      <c r="K102" s="129">
        <v>3929.09</v>
      </c>
      <c r="L102" s="129">
        <v>4089.745</v>
      </c>
      <c r="M102" s="129">
        <v>4250.4</v>
      </c>
      <c r="N102" s="130">
        <v>4617.25</v>
      </c>
      <c r="O102" s="129">
        <v>5100.48</v>
      </c>
      <c r="P102" s="129">
        <v>5682.38</v>
      </c>
    </row>
    <row r="103" ht="21" customHeight="1" spans="1:16">
      <c r="A103" s="115" t="s">
        <v>24</v>
      </c>
      <c r="B103" s="129">
        <v>1811.48</v>
      </c>
      <c r="C103" s="129">
        <v>1944.305</v>
      </c>
      <c r="D103" s="130">
        <v>2127.73</v>
      </c>
      <c r="E103" s="129">
        <v>2306.095</v>
      </c>
      <c r="F103" s="129">
        <v>2454.1</v>
      </c>
      <c r="G103" s="130">
        <v>2664.09</v>
      </c>
      <c r="H103" s="129">
        <v>2984.135</v>
      </c>
      <c r="I103" s="129">
        <v>3305.445</v>
      </c>
      <c r="J103" s="130">
        <v>3788.675</v>
      </c>
      <c r="K103" s="129">
        <v>3834.215</v>
      </c>
      <c r="L103" s="129">
        <v>3994.87</v>
      </c>
      <c r="M103" s="129">
        <v>4155.525</v>
      </c>
      <c r="N103" s="130">
        <v>4522.375</v>
      </c>
      <c r="O103" s="129">
        <v>5005.605</v>
      </c>
      <c r="P103" s="129">
        <v>5587.505</v>
      </c>
    </row>
    <row r="104" ht="21" customHeight="1" spans="1:16">
      <c r="A104" s="116" t="s">
        <v>44</v>
      </c>
      <c r="B104" s="129">
        <v>2655.235</v>
      </c>
      <c r="C104" s="129">
        <v>2832.335</v>
      </c>
      <c r="D104" s="130">
        <v>3019.555</v>
      </c>
      <c r="E104" s="129">
        <v>3216.895</v>
      </c>
      <c r="F104" s="129">
        <v>3424.355</v>
      </c>
      <c r="G104" s="130">
        <v>3641.935</v>
      </c>
      <c r="H104" s="129">
        <v>4018.905</v>
      </c>
      <c r="I104" s="129">
        <v>4523.64</v>
      </c>
      <c r="J104" s="130">
        <v>5306.675</v>
      </c>
      <c r="K104" s="129">
        <v>5606.48</v>
      </c>
      <c r="L104" s="129">
        <v>5916.405</v>
      </c>
      <c r="M104" s="129">
        <v>6238.98</v>
      </c>
      <c r="N104" s="130">
        <v>6957.5</v>
      </c>
      <c r="O104" s="129">
        <v>7482.475</v>
      </c>
      <c r="P104" s="129">
        <v>8255.39</v>
      </c>
    </row>
    <row r="105" ht="21" customHeight="1" spans="1:16">
      <c r="A105" s="116" t="s">
        <v>45</v>
      </c>
      <c r="B105" s="129">
        <v>2876.61</v>
      </c>
      <c r="C105" s="129">
        <v>3053.71</v>
      </c>
      <c r="D105" s="130">
        <v>3242.195</v>
      </c>
      <c r="E105" s="129">
        <v>3439.535</v>
      </c>
      <c r="F105" s="129">
        <v>3646.995</v>
      </c>
      <c r="G105" s="130">
        <v>3864.575</v>
      </c>
      <c r="H105" s="129">
        <v>4250.4</v>
      </c>
      <c r="I105" s="129">
        <v>4755.135</v>
      </c>
      <c r="J105" s="130">
        <v>5545.76</v>
      </c>
      <c r="K105" s="129">
        <v>5845.565</v>
      </c>
      <c r="L105" s="129">
        <v>6155.49</v>
      </c>
      <c r="M105" s="129">
        <v>6478.065</v>
      </c>
      <c r="N105" s="130">
        <v>7458.44</v>
      </c>
      <c r="O105" s="129">
        <v>8593.145</v>
      </c>
      <c r="P105" s="129">
        <v>9782.245</v>
      </c>
    </row>
    <row r="106" ht="21" customHeight="1" spans="1:16">
      <c r="A106" s="141" t="s">
        <v>46</v>
      </c>
      <c r="B106" s="129">
        <v>3822.83</v>
      </c>
      <c r="C106" s="129">
        <v>4064.445</v>
      </c>
      <c r="D106" s="130">
        <v>4321.24</v>
      </c>
      <c r="E106" s="129">
        <v>4590.685</v>
      </c>
      <c r="F106" s="129">
        <v>4876.575</v>
      </c>
      <c r="G106" s="130">
        <v>5176.38</v>
      </c>
      <c r="H106" s="129">
        <v>5701.355</v>
      </c>
      <c r="I106" s="129">
        <v>6398.37</v>
      </c>
      <c r="J106" s="130">
        <v>7420.49</v>
      </c>
      <c r="K106" s="129">
        <v>7836.675</v>
      </c>
      <c r="L106" s="129">
        <v>8269.305</v>
      </c>
      <c r="M106" s="129">
        <v>8715.85</v>
      </c>
      <c r="N106" s="130">
        <v>10002.355</v>
      </c>
      <c r="O106" s="129">
        <v>11586.135</v>
      </c>
      <c r="P106" s="129">
        <v>13162.325</v>
      </c>
    </row>
    <row r="107" ht="21" customHeight="1" spans="1:16">
      <c r="A107" s="116" t="s">
        <v>39</v>
      </c>
      <c r="B107" s="129">
        <v>2034.12</v>
      </c>
      <c r="C107" s="129">
        <v>2065.745</v>
      </c>
      <c r="D107" s="130">
        <v>2120.14</v>
      </c>
      <c r="E107" s="129">
        <v>2155.56</v>
      </c>
      <c r="F107" s="129">
        <v>2277</v>
      </c>
      <c r="G107" s="130">
        <v>2338.985</v>
      </c>
      <c r="H107" s="129">
        <v>2545.18</v>
      </c>
      <c r="I107" s="129">
        <v>2656.5</v>
      </c>
      <c r="J107" s="130">
        <v>2924.68</v>
      </c>
      <c r="K107" s="129">
        <v>3095.455</v>
      </c>
      <c r="L107" s="129">
        <v>3348.455</v>
      </c>
      <c r="M107" s="129">
        <v>3477.485</v>
      </c>
      <c r="N107" s="130">
        <v>3795</v>
      </c>
      <c r="O107" s="129">
        <v>4044.205</v>
      </c>
      <c r="P107" s="129">
        <v>4206.125</v>
      </c>
    </row>
    <row r="108" ht="21" customHeight="1" spans="1:16">
      <c r="A108" s="116" t="s">
        <v>40</v>
      </c>
      <c r="B108" s="129">
        <v>1984.785</v>
      </c>
      <c r="C108" s="129">
        <v>2085.985</v>
      </c>
      <c r="D108" s="130">
        <v>2145.44</v>
      </c>
      <c r="E108" s="129">
        <v>2279.53</v>
      </c>
      <c r="F108" s="129">
        <v>2350.37</v>
      </c>
      <c r="G108" s="130">
        <v>2433.86</v>
      </c>
      <c r="H108" s="129">
        <v>2717.22</v>
      </c>
      <c r="I108" s="129">
        <v>2865.225</v>
      </c>
      <c r="J108" s="130">
        <v>3171.355</v>
      </c>
      <c r="K108" s="129">
        <v>3296.59</v>
      </c>
      <c r="L108" s="129">
        <v>3440.8</v>
      </c>
      <c r="M108" s="129">
        <v>3590.07</v>
      </c>
      <c r="N108" s="130">
        <v>4048</v>
      </c>
      <c r="O108" s="129">
        <v>4522.375</v>
      </c>
      <c r="P108" s="129">
        <v>5014.46</v>
      </c>
    </row>
    <row r="109" ht="21" customHeight="1" spans="1:16">
      <c r="A109" s="116" t="s">
        <v>41</v>
      </c>
      <c r="B109" s="129">
        <v>2890.525</v>
      </c>
      <c r="C109" s="129">
        <v>3017.025</v>
      </c>
      <c r="D109" s="130">
        <v>3089.13</v>
      </c>
      <c r="E109" s="129">
        <v>3253.58</v>
      </c>
      <c r="F109" s="129">
        <v>3339.6</v>
      </c>
      <c r="G109" s="130">
        <v>3442.065</v>
      </c>
      <c r="H109" s="129">
        <v>3826.625</v>
      </c>
      <c r="I109" s="129">
        <v>4003.725</v>
      </c>
      <c r="J109" s="130">
        <v>4317.445</v>
      </c>
      <c r="K109" s="129">
        <v>4474.305</v>
      </c>
      <c r="L109" s="129">
        <v>4655.2</v>
      </c>
      <c r="M109" s="129">
        <v>4833.565</v>
      </c>
      <c r="N109" s="130">
        <v>5248.485</v>
      </c>
      <c r="O109" s="129">
        <v>5684.91</v>
      </c>
      <c r="P109" s="129">
        <v>6304.76</v>
      </c>
    </row>
    <row r="110" ht="21" customHeight="1" spans="1:16">
      <c r="A110" s="116" t="s">
        <v>42</v>
      </c>
      <c r="B110" s="129">
        <v>828.575</v>
      </c>
      <c r="C110" s="129">
        <v>839.96</v>
      </c>
      <c r="D110" s="130">
        <v>846.285</v>
      </c>
      <c r="E110" s="129">
        <v>855.14</v>
      </c>
      <c r="F110" s="129">
        <v>866.525</v>
      </c>
      <c r="G110" s="130">
        <v>875.38</v>
      </c>
      <c r="H110" s="129">
        <v>917.125</v>
      </c>
      <c r="I110" s="129">
        <v>937.365</v>
      </c>
      <c r="J110" s="130">
        <v>1037.3</v>
      </c>
      <c r="K110" s="129">
        <v>1043.625</v>
      </c>
      <c r="L110" s="129">
        <v>1057.54</v>
      </c>
      <c r="M110" s="129">
        <v>1063.865</v>
      </c>
      <c r="N110" s="130">
        <v>1176.45</v>
      </c>
      <c r="O110" s="129">
        <v>1205.545</v>
      </c>
      <c r="P110" s="129">
        <v>1320.66</v>
      </c>
    </row>
    <row r="111" ht="18" customHeight="1" spans="1:16">
      <c r="A111" s="122"/>
      <c r="B111" s="15"/>
      <c r="C111" s="15"/>
      <c r="D111" s="15"/>
      <c r="E111" s="15"/>
      <c r="F111" s="15"/>
      <c r="G111" s="15"/>
      <c r="H111" s="15"/>
      <c r="I111" s="15"/>
      <c r="J111" s="51"/>
      <c r="K111" s="15"/>
      <c r="L111" s="15"/>
      <c r="M111" s="15"/>
      <c r="N111" s="51"/>
      <c r="O111" s="15"/>
      <c r="P111" s="15"/>
    </row>
    <row r="112" ht="24" customHeight="1" spans="1:16">
      <c r="A112" s="120" t="s">
        <v>35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ht="17.25" customHeight="1" spans="1:16">
      <c r="A113" s="122"/>
      <c r="B113" s="134"/>
      <c r="C113" s="134"/>
      <c r="D113" s="134"/>
      <c r="E113" s="134"/>
      <c r="F113" s="134"/>
      <c r="G113" s="134"/>
      <c r="H113" s="134"/>
      <c r="I113" s="134"/>
      <c r="J113" s="135"/>
      <c r="K113" s="134"/>
      <c r="L113" s="134"/>
      <c r="M113" s="134"/>
      <c r="N113" s="135"/>
      <c r="O113" s="134"/>
      <c r="P113" s="134"/>
    </row>
    <row r="114" ht="26.25" customHeight="1" spans="1:16">
      <c r="A114" s="136" t="s">
        <v>48</v>
      </c>
    </row>
    <row r="115" ht="20.25" customHeight="1" spans="1:16">
      <c r="A115" s="124"/>
      <c r="B115" s="125" t="s">
        <v>2</v>
      </c>
      <c r="C115" s="125" t="s">
        <v>3</v>
      </c>
      <c r="D115" s="125" t="s">
        <v>4</v>
      </c>
      <c r="E115" s="125" t="s">
        <v>5</v>
      </c>
      <c r="F115" s="125" t="s">
        <v>6</v>
      </c>
      <c r="G115" s="125" t="s">
        <v>7</v>
      </c>
      <c r="H115" s="125" t="s">
        <v>8</v>
      </c>
      <c r="I115" s="125" t="s">
        <v>9</v>
      </c>
      <c r="J115" s="125" t="s">
        <v>10</v>
      </c>
      <c r="K115" s="125" t="s">
        <v>11</v>
      </c>
      <c r="L115" s="125" t="s">
        <v>12</v>
      </c>
      <c r="M115" s="125" t="s">
        <v>13</v>
      </c>
      <c r="N115" s="125" t="s">
        <v>14</v>
      </c>
      <c r="O115" s="125" t="s">
        <v>15</v>
      </c>
      <c r="P115" s="125" t="s">
        <v>16</v>
      </c>
    </row>
    <row r="116" ht="20.25" customHeight="1" spans="1:16">
      <c r="A116" s="115" t="s">
        <v>17</v>
      </c>
      <c r="B116" s="117">
        <v>1512.94</v>
      </c>
      <c r="C116" s="117">
        <v>1606.55</v>
      </c>
      <c r="D116" s="118">
        <v>1738.11</v>
      </c>
      <c r="E116" s="117">
        <v>1819.07</v>
      </c>
      <c r="F116" s="117">
        <v>1924.065</v>
      </c>
      <c r="G116" s="118">
        <v>2074.6</v>
      </c>
      <c r="H116" s="117">
        <v>2218.81</v>
      </c>
      <c r="I116" s="117">
        <v>2438.92</v>
      </c>
      <c r="J116" s="118">
        <v>2745.05</v>
      </c>
      <c r="K116" s="117">
        <v>2929.74</v>
      </c>
      <c r="L116" s="117">
        <v>3043.59</v>
      </c>
      <c r="M116" s="117">
        <v>3191.595</v>
      </c>
      <c r="N116" s="118">
        <v>3378.815</v>
      </c>
      <c r="O116" s="117">
        <v>3922.765</v>
      </c>
      <c r="P116" s="117">
        <v>4283.29</v>
      </c>
    </row>
    <row r="117" ht="20.25" customHeight="1" spans="1:16">
      <c r="A117" s="115" t="s">
        <v>18</v>
      </c>
      <c r="B117" s="117">
        <v>1232.11</v>
      </c>
      <c r="C117" s="117">
        <v>1302.95</v>
      </c>
      <c r="D117" s="118">
        <v>1461.075</v>
      </c>
      <c r="E117" s="117">
        <v>1540.77</v>
      </c>
      <c r="F117" s="117">
        <v>1652.09</v>
      </c>
      <c r="G117" s="118">
        <v>1739.375</v>
      </c>
      <c r="H117" s="117">
        <v>1839.31</v>
      </c>
      <c r="I117" s="117">
        <v>2189.715</v>
      </c>
      <c r="J117" s="118">
        <v>2371.875</v>
      </c>
      <c r="K117" s="117">
        <v>2530</v>
      </c>
      <c r="L117" s="117">
        <v>2656.5</v>
      </c>
      <c r="M117" s="117">
        <v>2832.335</v>
      </c>
      <c r="N117" s="118">
        <v>3043.59</v>
      </c>
      <c r="O117" s="117">
        <v>3200.45</v>
      </c>
      <c r="P117" s="117">
        <v>3558.445</v>
      </c>
    </row>
    <row r="118" ht="20.25" customHeight="1" spans="1:16">
      <c r="A118" s="115" t="s">
        <v>19</v>
      </c>
      <c r="B118" s="117">
        <v>950.015</v>
      </c>
      <c r="C118" s="117">
        <v>1062.6</v>
      </c>
      <c r="D118" s="118">
        <v>1157.475</v>
      </c>
      <c r="E118" s="117">
        <v>1232.11</v>
      </c>
      <c r="F118" s="117">
        <v>1421.86</v>
      </c>
      <c r="G118" s="118">
        <v>1502.82</v>
      </c>
      <c r="H118" s="117">
        <v>1605.285</v>
      </c>
      <c r="I118" s="117">
        <v>1739.375</v>
      </c>
      <c r="J118" s="118">
        <v>1897.5</v>
      </c>
      <c r="K118" s="117">
        <v>2055.625</v>
      </c>
      <c r="L118" s="117">
        <v>2049.3</v>
      </c>
      <c r="M118" s="117">
        <v>2125.2</v>
      </c>
      <c r="N118" s="118">
        <v>2292.18</v>
      </c>
      <c r="O118" s="117">
        <v>2580.6</v>
      </c>
      <c r="P118" s="117">
        <v>2808.3</v>
      </c>
    </row>
    <row r="119" ht="20.25" customHeight="1" spans="1:16">
      <c r="A119" s="115" t="s">
        <v>20</v>
      </c>
      <c r="B119" s="117">
        <v>804.54</v>
      </c>
      <c r="C119" s="117">
        <v>877.91</v>
      </c>
      <c r="D119" s="118">
        <v>1012</v>
      </c>
      <c r="E119" s="117">
        <v>1091.695</v>
      </c>
      <c r="F119" s="117">
        <v>1225.785</v>
      </c>
      <c r="G119" s="118">
        <v>1315.6</v>
      </c>
      <c r="H119" s="117">
        <v>1404.15</v>
      </c>
      <c r="I119" s="117">
        <v>1535.71</v>
      </c>
      <c r="J119" s="118">
        <v>1832.985</v>
      </c>
      <c r="K119" s="117">
        <v>1851.96</v>
      </c>
      <c r="L119" s="117">
        <v>1920.27</v>
      </c>
      <c r="M119" s="117">
        <v>1983.52</v>
      </c>
      <c r="N119" s="118">
        <v>2258.025</v>
      </c>
      <c r="O119" s="117">
        <v>2468.015</v>
      </c>
      <c r="P119" s="117">
        <v>2857.635</v>
      </c>
    </row>
    <row r="120" ht="20.25" customHeight="1" spans="1:16">
      <c r="A120" s="115" t="s">
        <v>21</v>
      </c>
      <c r="B120" s="117">
        <v>788.095</v>
      </c>
      <c r="C120" s="117">
        <v>827.31</v>
      </c>
      <c r="D120" s="118">
        <v>884.235</v>
      </c>
      <c r="E120" s="117">
        <v>918.39</v>
      </c>
      <c r="F120" s="117">
        <v>962.665</v>
      </c>
      <c r="G120" s="118">
        <v>1028.445</v>
      </c>
      <c r="H120" s="117">
        <v>1094.225</v>
      </c>
      <c r="I120" s="117">
        <v>1187.835</v>
      </c>
      <c r="J120" s="118">
        <v>1420.595</v>
      </c>
      <c r="K120" s="117">
        <v>1433.245</v>
      </c>
      <c r="L120" s="117">
        <v>1481.315</v>
      </c>
      <c r="M120" s="117">
        <v>1530.65</v>
      </c>
      <c r="N120" s="118">
        <v>1743.17</v>
      </c>
      <c r="O120" s="117">
        <v>1894.97</v>
      </c>
      <c r="P120" s="117">
        <v>2193.51</v>
      </c>
    </row>
    <row r="121" ht="20.25" customHeight="1" spans="1:16">
      <c r="A121" s="115" t="s">
        <v>22</v>
      </c>
      <c r="B121" s="117">
        <v>545.215</v>
      </c>
      <c r="C121" s="117">
        <v>567.985</v>
      </c>
      <c r="D121" s="118">
        <v>602.14</v>
      </c>
      <c r="E121" s="117">
        <v>623.645</v>
      </c>
      <c r="F121" s="117">
        <v>650.21</v>
      </c>
      <c r="G121" s="118">
        <v>688.16</v>
      </c>
      <c r="H121" s="117">
        <v>731.17</v>
      </c>
      <c r="I121" s="117">
        <v>788.095</v>
      </c>
      <c r="J121" s="118">
        <v>952.545</v>
      </c>
      <c r="K121" s="117">
        <v>960.135</v>
      </c>
      <c r="L121" s="117">
        <v>987.965</v>
      </c>
      <c r="M121" s="117">
        <v>1018.325</v>
      </c>
      <c r="N121" s="118">
        <v>1171.39</v>
      </c>
      <c r="O121" s="117">
        <v>1262.47</v>
      </c>
      <c r="P121" s="117">
        <v>1468.665</v>
      </c>
    </row>
    <row r="122" ht="20.25" customHeight="1" spans="1:16">
      <c r="A122" s="115" t="s">
        <v>23</v>
      </c>
      <c r="B122" s="117">
        <v>1421.86</v>
      </c>
      <c r="C122" s="117">
        <v>1591.37</v>
      </c>
      <c r="D122" s="118">
        <v>1739.375</v>
      </c>
      <c r="E122" s="117">
        <v>1870.935</v>
      </c>
      <c r="F122" s="117">
        <v>2067.01</v>
      </c>
      <c r="G122" s="118">
        <v>2215.015</v>
      </c>
      <c r="H122" s="117">
        <v>2466.75</v>
      </c>
      <c r="I122" s="117">
        <v>2566.685</v>
      </c>
      <c r="J122" s="118">
        <v>2913.295</v>
      </c>
      <c r="K122" s="117">
        <v>3079.01</v>
      </c>
      <c r="L122" s="117">
        <v>3213.1</v>
      </c>
      <c r="M122" s="117">
        <v>3364.9</v>
      </c>
      <c r="N122" s="118">
        <v>3681.15</v>
      </c>
      <c r="O122" s="117">
        <v>4096.07</v>
      </c>
      <c r="P122" s="117">
        <v>4475.57</v>
      </c>
    </row>
    <row r="123" ht="20.25" customHeight="1" spans="1:16">
      <c r="A123" s="115" t="s">
        <v>24</v>
      </c>
      <c r="B123" s="117">
        <v>1342.165</v>
      </c>
      <c r="C123" s="117">
        <v>1511.675</v>
      </c>
      <c r="D123" s="118">
        <v>1660.945</v>
      </c>
      <c r="E123" s="117">
        <v>1791.24</v>
      </c>
      <c r="F123" s="117">
        <v>1987.315</v>
      </c>
      <c r="G123" s="118">
        <v>2136.585</v>
      </c>
      <c r="H123" s="117">
        <v>2388.32</v>
      </c>
      <c r="I123" s="117">
        <v>2486.99</v>
      </c>
      <c r="J123" s="118">
        <v>2833.6</v>
      </c>
      <c r="K123" s="117">
        <v>2999.315</v>
      </c>
      <c r="L123" s="117">
        <v>3134.67</v>
      </c>
      <c r="M123" s="117">
        <v>3286.47</v>
      </c>
      <c r="N123" s="118">
        <v>3602.72</v>
      </c>
      <c r="O123" s="117">
        <v>4016.375</v>
      </c>
      <c r="P123" s="117">
        <v>4395.875</v>
      </c>
    </row>
    <row r="124" ht="20.25" customHeight="1" spans="1:16">
      <c r="A124" s="115" t="s">
        <v>25</v>
      </c>
      <c r="B124" s="117">
        <v>1173.92</v>
      </c>
      <c r="C124" s="117">
        <v>1246.025</v>
      </c>
      <c r="D124" s="118">
        <v>1358.61</v>
      </c>
      <c r="E124" s="117">
        <v>1480.05</v>
      </c>
      <c r="F124" s="117">
        <v>1633.115</v>
      </c>
      <c r="G124" s="118">
        <v>1663.475</v>
      </c>
      <c r="H124" s="117">
        <v>1846.9</v>
      </c>
      <c r="I124" s="117">
        <v>2201.1</v>
      </c>
      <c r="J124" s="118">
        <v>2265.615</v>
      </c>
      <c r="K124" s="117">
        <v>2421.21</v>
      </c>
      <c r="L124" s="117">
        <v>2643.85</v>
      </c>
      <c r="M124" s="117">
        <v>2923.415</v>
      </c>
      <c r="N124" s="118">
        <v>3490.135</v>
      </c>
      <c r="O124" s="117">
        <v>3781.085</v>
      </c>
      <c r="P124" s="117">
        <v>3954.39</v>
      </c>
    </row>
    <row r="125" ht="20.25" customHeight="1" spans="1:16">
      <c r="A125" s="115" t="s">
        <v>37</v>
      </c>
      <c r="B125" s="117">
        <v>1763.41</v>
      </c>
      <c r="C125" s="117">
        <v>1875.995</v>
      </c>
      <c r="D125" s="118">
        <v>1946.835</v>
      </c>
      <c r="E125" s="117">
        <v>2193.51</v>
      </c>
      <c r="F125" s="117">
        <v>2316.215</v>
      </c>
      <c r="G125" s="118">
        <v>2562.89</v>
      </c>
      <c r="H125" s="117">
        <v>2729.87</v>
      </c>
      <c r="I125" s="117">
        <v>3134.67</v>
      </c>
      <c r="J125" s="118">
        <v>3657.115</v>
      </c>
      <c r="K125" s="117">
        <v>3954.39</v>
      </c>
      <c r="L125" s="117">
        <v>4459.125</v>
      </c>
      <c r="M125" s="117">
        <v>4681.765</v>
      </c>
      <c r="N125" s="118">
        <v>5545.76</v>
      </c>
      <c r="O125" s="117">
        <v>6113.745</v>
      </c>
      <c r="P125" s="117">
        <v>6404.695</v>
      </c>
    </row>
    <row r="126" ht="20.25" customHeight="1" spans="1:16">
      <c r="A126" s="115" t="s">
        <v>44</v>
      </c>
      <c r="B126" s="117">
        <v>2530</v>
      </c>
      <c r="C126" s="117">
        <v>2607.165</v>
      </c>
      <c r="D126" s="118">
        <v>2699.51</v>
      </c>
      <c r="E126" s="117">
        <v>2794.385</v>
      </c>
      <c r="F126" s="117">
        <v>2895.585</v>
      </c>
      <c r="G126" s="118">
        <v>3001.845</v>
      </c>
      <c r="H126" s="117">
        <v>3230.81</v>
      </c>
      <c r="I126" s="117">
        <v>3476.22</v>
      </c>
      <c r="J126" s="118">
        <v>3940.475</v>
      </c>
      <c r="K126" s="117">
        <v>4085.95</v>
      </c>
      <c r="L126" s="117">
        <v>4236.485</v>
      </c>
      <c r="M126" s="117">
        <v>4393.345</v>
      </c>
      <c r="N126" s="118">
        <v>4951.21</v>
      </c>
      <c r="O126" s="117">
        <v>5501.485</v>
      </c>
      <c r="P126" s="117">
        <v>6164.345</v>
      </c>
    </row>
    <row r="127" ht="20.25" customHeight="1" spans="1:16">
      <c r="A127" s="115" t="s">
        <v>45</v>
      </c>
      <c r="B127" s="117">
        <v>3054.975</v>
      </c>
      <c r="C127" s="117">
        <v>3182.74</v>
      </c>
      <c r="D127" s="118">
        <v>3326.95</v>
      </c>
      <c r="E127" s="117">
        <v>3478.75</v>
      </c>
      <c r="F127" s="117">
        <v>3638.14</v>
      </c>
      <c r="G127" s="118">
        <v>3806.385</v>
      </c>
      <c r="H127" s="117">
        <v>4135.285</v>
      </c>
      <c r="I127" s="117">
        <v>4522.375</v>
      </c>
      <c r="J127" s="118">
        <v>5186.5</v>
      </c>
      <c r="K127" s="117">
        <v>5417.995</v>
      </c>
      <c r="L127" s="117">
        <v>5775.99</v>
      </c>
      <c r="M127" s="117">
        <v>6044.17</v>
      </c>
      <c r="N127" s="118">
        <v>6895.515</v>
      </c>
      <c r="O127" s="117">
        <v>7836.675</v>
      </c>
      <c r="P127" s="117">
        <v>8861.325</v>
      </c>
    </row>
    <row r="128" ht="20.25" customHeight="1" spans="1:16">
      <c r="A128" s="115" t="s">
        <v>46</v>
      </c>
      <c r="B128" s="117">
        <v>3983.485</v>
      </c>
      <c r="C128" s="117">
        <v>4160.585</v>
      </c>
      <c r="D128" s="118">
        <v>4357.925</v>
      </c>
      <c r="E128" s="117">
        <v>4565.385</v>
      </c>
      <c r="F128" s="117">
        <v>4785.495</v>
      </c>
      <c r="G128" s="118">
        <v>5023.315</v>
      </c>
      <c r="H128" s="117">
        <v>5487.57</v>
      </c>
      <c r="I128" s="117">
        <v>6065.675</v>
      </c>
      <c r="J128" s="118">
        <v>6995.45</v>
      </c>
      <c r="K128" s="117">
        <v>7340.795</v>
      </c>
      <c r="L128" s="117">
        <v>7698.79</v>
      </c>
      <c r="M128" s="117">
        <v>8069.435</v>
      </c>
      <c r="N128" s="118">
        <v>9221.85</v>
      </c>
      <c r="O128" s="117">
        <v>10534.92</v>
      </c>
      <c r="P128" s="117">
        <v>11930.215</v>
      </c>
    </row>
    <row r="129" ht="20.25" customHeight="1" spans="1:16">
      <c r="A129" s="115" t="s">
        <v>29</v>
      </c>
      <c r="B129" s="117">
        <v>2271.94</v>
      </c>
      <c r="C129" s="117">
        <v>2389.585</v>
      </c>
      <c r="D129" s="118">
        <v>2454.1</v>
      </c>
      <c r="E129" s="117">
        <v>2613.49</v>
      </c>
      <c r="F129" s="117">
        <v>2693.185</v>
      </c>
      <c r="G129" s="118">
        <v>2788.06</v>
      </c>
      <c r="H129" s="117">
        <v>3122.02</v>
      </c>
      <c r="I129" s="117">
        <v>3287.735</v>
      </c>
      <c r="J129" s="118">
        <v>3725.425</v>
      </c>
      <c r="K129" s="117">
        <v>3878.49</v>
      </c>
      <c r="L129" s="117">
        <v>4055.59</v>
      </c>
      <c r="M129" s="117">
        <v>4239.015</v>
      </c>
      <c r="N129" s="118">
        <v>4814.59</v>
      </c>
      <c r="O129" s="117">
        <v>5249.75</v>
      </c>
      <c r="P129" s="117">
        <v>6094.77</v>
      </c>
    </row>
    <row r="130" ht="20.25" customHeight="1" spans="1:16">
      <c r="A130" s="115" t="s">
        <v>30</v>
      </c>
      <c r="B130" s="117">
        <v>974.05</v>
      </c>
      <c r="C130" s="117">
        <v>994.29</v>
      </c>
      <c r="D130" s="118">
        <v>1017.06</v>
      </c>
      <c r="E130" s="117">
        <v>1038.565</v>
      </c>
      <c r="F130" s="117">
        <v>1063.865</v>
      </c>
      <c r="G130" s="118">
        <v>1089.165</v>
      </c>
      <c r="H130" s="117">
        <v>1151.15</v>
      </c>
      <c r="I130" s="117">
        <v>1211.87</v>
      </c>
      <c r="J130" s="118">
        <v>1314.335</v>
      </c>
      <c r="K130" s="117">
        <v>1348.49</v>
      </c>
      <c r="L130" s="117">
        <v>1388.97</v>
      </c>
      <c r="M130" s="117">
        <v>1423.125</v>
      </c>
      <c r="N130" s="118">
        <v>1550.89</v>
      </c>
      <c r="O130" s="117">
        <v>1688.775</v>
      </c>
      <c r="P130" s="117">
        <v>1848.165</v>
      </c>
    </row>
    <row r="131" ht="20.25" customHeight="1" spans="1:16">
      <c r="A131" s="115" t="s">
        <v>31</v>
      </c>
      <c r="B131" s="117">
        <v>1283.975</v>
      </c>
      <c r="C131" s="117">
        <v>1301.685</v>
      </c>
      <c r="D131" s="118">
        <v>1320.66</v>
      </c>
      <c r="E131" s="117">
        <v>1339.635</v>
      </c>
      <c r="F131" s="117">
        <v>1359.875</v>
      </c>
      <c r="G131" s="118">
        <v>1380.115</v>
      </c>
      <c r="H131" s="117">
        <v>1454.75</v>
      </c>
      <c r="I131" s="117">
        <v>1502.82</v>
      </c>
      <c r="J131" s="118">
        <v>1611.61</v>
      </c>
      <c r="K131" s="117">
        <v>1638.175</v>
      </c>
      <c r="L131" s="117">
        <v>1667.27</v>
      </c>
      <c r="M131" s="117">
        <v>1695.1</v>
      </c>
      <c r="N131" s="118">
        <v>1820.335</v>
      </c>
      <c r="O131" s="117">
        <v>1921.535</v>
      </c>
      <c r="P131" s="117">
        <v>2061.95</v>
      </c>
    </row>
    <row r="132" ht="20.25" customHeight="1" spans="1:16">
      <c r="A132" s="115" t="s">
        <v>32</v>
      </c>
      <c r="B132" s="117">
        <v>0</v>
      </c>
      <c r="C132" s="117">
        <v>0</v>
      </c>
      <c r="D132" s="118">
        <v>0</v>
      </c>
      <c r="E132" s="117">
        <v>0</v>
      </c>
      <c r="F132" s="117">
        <v>0</v>
      </c>
      <c r="G132" s="118">
        <v>0</v>
      </c>
      <c r="H132" s="117">
        <v>1051.215</v>
      </c>
      <c r="I132" s="117">
        <v>1110.67</v>
      </c>
      <c r="J132" s="118">
        <v>1215.665</v>
      </c>
      <c r="K132" s="117">
        <v>1251.085</v>
      </c>
      <c r="L132" s="117">
        <v>1290.3</v>
      </c>
      <c r="M132" s="117">
        <v>1325.72</v>
      </c>
      <c r="N132" s="118">
        <v>1516.735</v>
      </c>
      <c r="O132" s="117">
        <v>1650.825</v>
      </c>
      <c r="P132" s="117">
        <v>1808.95</v>
      </c>
    </row>
    <row r="133" ht="20.25" customHeight="1" spans="1:16">
      <c r="A133" s="115" t="s">
        <v>33</v>
      </c>
      <c r="B133" s="117">
        <v>879.175</v>
      </c>
      <c r="C133" s="117">
        <v>886.765</v>
      </c>
      <c r="D133" s="118">
        <v>891.825</v>
      </c>
      <c r="E133" s="117">
        <v>899.415</v>
      </c>
      <c r="F133" s="117">
        <v>908.27</v>
      </c>
      <c r="G133" s="118">
        <v>914.595</v>
      </c>
      <c r="H133" s="117">
        <v>950.015</v>
      </c>
      <c r="I133" s="117">
        <v>966.46</v>
      </c>
      <c r="J133" s="118">
        <v>1068.925</v>
      </c>
      <c r="K133" s="117">
        <v>1073.985</v>
      </c>
      <c r="L133" s="117">
        <v>1089.165</v>
      </c>
      <c r="M133" s="117">
        <v>1089.165</v>
      </c>
      <c r="N133" s="118">
        <v>1203.015</v>
      </c>
      <c r="O133" s="117">
        <v>1225.785</v>
      </c>
      <c r="P133" s="117">
        <v>1186.57</v>
      </c>
    </row>
    <row r="134" ht="20.25" customHeight="1" spans="1:16">
      <c r="A134" s="115" t="s">
        <v>34</v>
      </c>
      <c r="B134" s="117">
        <v>985.435</v>
      </c>
      <c r="C134" s="117">
        <v>1004.41</v>
      </c>
      <c r="D134" s="118">
        <v>1025.915</v>
      </c>
      <c r="E134" s="117">
        <v>1043.625</v>
      </c>
      <c r="F134" s="117">
        <v>1063.865</v>
      </c>
      <c r="G134" s="118">
        <v>1086.635</v>
      </c>
      <c r="H134" s="117">
        <v>1148.62</v>
      </c>
      <c r="I134" s="117">
        <v>1195.425</v>
      </c>
      <c r="J134" s="118">
        <v>1224.52</v>
      </c>
      <c r="K134" s="117">
        <v>1247.29</v>
      </c>
      <c r="L134" s="117">
        <v>1251.085</v>
      </c>
      <c r="M134" s="117">
        <v>1282.71</v>
      </c>
      <c r="N134" s="118">
        <v>1390.235</v>
      </c>
      <c r="O134" s="117">
        <v>1462.34</v>
      </c>
      <c r="P134" s="117">
        <v>1622.995</v>
      </c>
    </row>
    <row r="135" ht="21" customHeight="1" spans="1:16">
      <c r="A135" s="122"/>
      <c r="B135" s="15"/>
      <c r="C135" s="15"/>
      <c r="D135" s="15"/>
      <c r="E135" s="15"/>
      <c r="F135" s="15"/>
      <c r="G135" s="15"/>
      <c r="H135" s="15"/>
      <c r="I135" s="15"/>
      <c r="J135" s="51"/>
      <c r="K135" s="15"/>
      <c r="L135" s="15"/>
      <c r="M135" s="15"/>
      <c r="N135" s="51"/>
      <c r="O135" s="15"/>
      <c r="P135" s="15"/>
    </row>
    <row r="136" ht="24" customHeight="1" spans="1:16">
      <c r="A136" s="120" t="s">
        <v>35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ht="20.25" customHeight="1" spans="1:16">
      <c r="A137" s="122"/>
      <c r="B137" s="134"/>
      <c r="C137" s="134"/>
      <c r="D137" s="134"/>
      <c r="E137" s="134"/>
      <c r="F137" s="134"/>
      <c r="G137" s="134"/>
      <c r="H137" s="134"/>
      <c r="I137" s="134"/>
      <c r="J137" s="135"/>
      <c r="K137" s="134"/>
      <c r="L137" s="134"/>
      <c r="M137" s="134"/>
      <c r="N137" s="135"/>
      <c r="O137" s="134"/>
      <c r="P137" s="134"/>
    </row>
    <row r="138" ht="26.25" customHeight="1" spans="1:16">
      <c r="A138" s="136" t="s">
        <v>49</v>
      </c>
    </row>
    <row r="139" ht="20.25" customHeight="1" spans="1:16">
      <c r="A139" s="124"/>
      <c r="B139" s="125" t="s">
        <v>2</v>
      </c>
      <c r="C139" s="125" t="s">
        <v>3</v>
      </c>
      <c r="D139" s="125" t="s">
        <v>4</v>
      </c>
      <c r="E139" s="125" t="s">
        <v>5</v>
      </c>
      <c r="F139" s="125" t="s">
        <v>6</v>
      </c>
      <c r="G139" s="125" t="s">
        <v>7</v>
      </c>
      <c r="H139" s="125" t="s">
        <v>8</v>
      </c>
      <c r="I139" s="125" t="s">
        <v>9</v>
      </c>
      <c r="J139" s="125" t="s">
        <v>10</v>
      </c>
      <c r="K139" s="125" t="s">
        <v>11</v>
      </c>
      <c r="L139" s="125" t="s">
        <v>12</v>
      </c>
      <c r="M139" s="125" t="s">
        <v>13</v>
      </c>
      <c r="N139" s="125" t="s">
        <v>14</v>
      </c>
      <c r="O139" s="125" t="s">
        <v>15</v>
      </c>
      <c r="P139" s="125" t="s">
        <v>16</v>
      </c>
    </row>
    <row r="140" ht="21" customHeight="1" spans="1:16">
      <c r="A140" s="115" t="s">
        <v>17</v>
      </c>
      <c r="B140" s="117">
        <v>2097.37</v>
      </c>
      <c r="C140" s="117">
        <v>2376.935</v>
      </c>
      <c r="D140" s="118">
        <v>2490.785</v>
      </c>
      <c r="E140" s="117">
        <v>2712.16</v>
      </c>
      <c r="F140" s="117">
        <v>2879.14</v>
      </c>
      <c r="G140" s="118">
        <v>3116.96</v>
      </c>
      <c r="H140" s="117">
        <v>3338.335</v>
      </c>
      <c r="I140" s="117">
        <v>3687.475</v>
      </c>
      <c r="J140" s="118">
        <v>4135.285</v>
      </c>
      <c r="K140" s="117">
        <v>4182.09</v>
      </c>
      <c r="L140" s="117">
        <v>4351.6</v>
      </c>
      <c r="M140" s="117">
        <v>4522.375</v>
      </c>
      <c r="N140" s="118">
        <v>5096.685</v>
      </c>
      <c r="O140" s="117">
        <v>5622.925</v>
      </c>
      <c r="P140" s="117">
        <v>6486.92</v>
      </c>
    </row>
    <row r="141" ht="21" customHeight="1" spans="1:16">
      <c r="A141" s="115" t="s">
        <v>18</v>
      </c>
      <c r="B141" s="117">
        <v>1889.91</v>
      </c>
      <c r="C141" s="117">
        <v>2024</v>
      </c>
      <c r="D141" s="118">
        <v>2211.22</v>
      </c>
      <c r="E141" s="117">
        <v>2326.335</v>
      </c>
      <c r="F141" s="117">
        <v>2478.135</v>
      </c>
      <c r="G141" s="118">
        <v>2691.92</v>
      </c>
      <c r="H141" s="117">
        <v>2891.79</v>
      </c>
      <c r="I141" s="117">
        <v>3206.775</v>
      </c>
      <c r="J141" s="118">
        <v>38354.8</v>
      </c>
      <c r="K141" s="117">
        <v>3878.49</v>
      </c>
      <c r="L141" s="117">
        <v>4041.675</v>
      </c>
      <c r="M141" s="117">
        <v>4204.86</v>
      </c>
      <c r="N141" s="118">
        <v>4760.195</v>
      </c>
      <c r="O141" s="117">
        <v>5263.665</v>
      </c>
      <c r="P141" s="117">
        <v>6097.3</v>
      </c>
    </row>
    <row r="142" ht="21" customHeight="1" spans="1:16">
      <c r="A142" s="115" t="s">
        <v>19</v>
      </c>
      <c r="B142" s="117">
        <v>1574.925</v>
      </c>
      <c r="C142" s="117">
        <v>1682.45</v>
      </c>
      <c r="D142" s="118">
        <v>2022.735</v>
      </c>
      <c r="E142" s="117">
        <v>2128.995</v>
      </c>
      <c r="F142" s="117">
        <v>2264.35</v>
      </c>
      <c r="G142" s="118">
        <v>2457.895</v>
      </c>
      <c r="H142" s="117">
        <v>2641.32</v>
      </c>
      <c r="I142" s="117">
        <v>2923.415</v>
      </c>
      <c r="J142" s="118">
        <v>3395.26</v>
      </c>
      <c r="K142" s="117">
        <v>3539.47</v>
      </c>
      <c r="L142" s="117">
        <v>3686.21</v>
      </c>
      <c r="M142" s="117">
        <v>3832.95</v>
      </c>
      <c r="N142" s="118">
        <v>4340.215</v>
      </c>
      <c r="O142" s="117">
        <v>4798.145</v>
      </c>
      <c r="P142" s="117">
        <v>5558.41</v>
      </c>
    </row>
    <row r="143" ht="21" customHeight="1" spans="1:16">
      <c r="A143" s="115" t="s">
        <v>20</v>
      </c>
      <c r="B143" s="117">
        <v>1402.885</v>
      </c>
      <c r="C143" s="117">
        <v>1487.64</v>
      </c>
      <c r="D143" s="118">
        <v>1605.285</v>
      </c>
      <c r="E143" s="117">
        <v>1677.39</v>
      </c>
      <c r="F143" s="117">
        <v>1774.795</v>
      </c>
      <c r="G143" s="118">
        <v>1908.885</v>
      </c>
      <c r="H143" s="117">
        <v>2040.445</v>
      </c>
      <c r="I143" s="117">
        <v>2239.05</v>
      </c>
      <c r="J143" s="118">
        <v>2503.435</v>
      </c>
      <c r="K143" s="117">
        <v>2689.39</v>
      </c>
      <c r="L143" s="117">
        <v>2793.12</v>
      </c>
      <c r="M143" s="117">
        <v>2895.585</v>
      </c>
      <c r="N143" s="118">
        <v>3273.82</v>
      </c>
      <c r="O143" s="117">
        <v>3592.6</v>
      </c>
      <c r="P143" s="117">
        <v>4147.935</v>
      </c>
    </row>
    <row r="144" ht="21" customHeight="1" spans="1:16">
      <c r="A144" s="115" t="s">
        <v>21</v>
      </c>
      <c r="B144" s="117">
        <v>1113.2</v>
      </c>
      <c r="C144" s="117">
        <v>1173.92</v>
      </c>
      <c r="D144" s="118">
        <v>1257.41</v>
      </c>
      <c r="E144" s="117">
        <v>1309.275</v>
      </c>
      <c r="F144" s="117">
        <v>1377.585</v>
      </c>
      <c r="G144" s="118">
        <v>1473.725</v>
      </c>
      <c r="H144" s="117">
        <v>1573.66</v>
      </c>
      <c r="I144" s="117">
        <v>1714.075</v>
      </c>
      <c r="J144" s="118">
        <v>2036.65</v>
      </c>
      <c r="K144" s="117">
        <v>2056.89</v>
      </c>
      <c r="L144" s="117">
        <v>2131.525</v>
      </c>
      <c r="M144" s="117">
        <v>2204.895</v>
      </c>
      <c r="N144" s="118">
        <v>2497.11</v>
      </c>
      <c r="O144" s="117">
        <v>2726.075</v>
      </c>
      <c r="P144" s="117">
        <v>3147.32</v>
      </c>
    </row>
    <row r="145" ht="21" customHeight="1" spans="1:17">
      <c r="A145" s="115" t="s">
        <v>22</v>
      </c>
      <c r="B145" s="117">
        <v>766.59</v>
      </c>
      <c r="C145" s="117">
        <v>803.275</v>
      </c>
      <c r="D145" s="118">
        <v>853.875</v>
      </c>
      <c r="E145" s="117">
        <v>885.5</v>
      </c>
      <c r="F145" s="117">
        <v>927.245</v>
      </c>
      <c r="G145" s="118">
        <v>985.435</v>
      </c>
      <c r="H145" s="117">
        <v>1047.42</v>
      </c>
      <c r="I145" s="117">
        <v>1132.175</v>
      </c>
      <c r="J145" s="118">
        <v>1353.55</v>
      </c>
      <c r="K145" s="117">
        <v>1366.2</v>
      </c>
      <c r="L145" s="117">
        <v>1410.475</v>
      </c>
      <c r="M145" s="117">
        <v>1454.75</v>
      </c>
      <c r="N145" s="118">
        <v>1658.415</v>
      </c>
      <c r="O145" s="117">
        <v>1796.3</v>
      </c>
      <c r="P145" s="117">
        <v>2079.66</v>
      </c>
    </row>
    <row r="146" ht="21" customHeight="1" spans="1:17">
      <c r="A146" s="115" t="s">
        <v>23</v>
      </c>
      <c r="B146" s="117">
        <v>2383.26</v>
      </c>
      <c r="C146" s="117">
        <v>2548.975</v>
      </c>
      <c r="D146" s="118">
        <v>2777.94</v>
      </c>
      <c r="E146" s="117">
        <v>3001.845</v>
      </c>
      <c r="F146" s="117">
        <v>3186.535</v>
      </c>
      <c r="G146" s="118">
        <v>3448.39</v>
      </c>
      <c r="H146" s="117">
        <v>3849.395</v>
      </c>
      <c r="I146" s="117">
        <v>4250.4</v>
      </c>
      <c r="J146" s="118">
        <v>4855.07</v>
      </c>
      <c r="K146" s="117">
        <v>4911.995</v>
      </c>
      <c r="L146" s="117">
        <v>5111.865</v>
      </c>
      <c r="M146" s="117">
        <v>5313</v>
      </c>
      <c r="N146" s="118">
        <v>5772.195</v>
      </c>
      <c r="O146" s="117">
        <v>6375.6</v>
      </c>
      <c r="P146" s="117">
        <v>7102.975</v>
      </c>
    </row>
    <row r="147" ht="21" customHeight="1" spans="1:17">
      <c r="A147" s="115" t="s">
        <v>24</v>
      </c>
      <c r="B147" s="117">
        <v>2264.35</v>
      </c>
      <c r="C147" s="117">
        <v>2430.065</v>
      </c>
      <c r="D147" s="118">
        <v>2660.295</v>
      </c>
      <c r="E147" s="117">
        <v>2882.935</v>
      </c>
      <c r="F147" s="117">
        <v>3067.625</v>
      </c>
      <c r="G147" s="118">
        <v>3330.745</v>
      </c>
      <c r="H147" s="117">
        <v>3730.485</v>
      </c>
      <c r="I147" s="117">
        <v>4131.49</v>
      </c>
      <c r="J147" s="118">
        <v>4736.16</v>
      </c>
      <c r="K147" s="117">
        <v>4793.085</v>
      </c>
      <c r="L147" s="117">
        <v>4994.22</v>
      </c>
      <c r="M147" s="117">
        <v>5194.09</v>
      </c>
      <c r="N147" s="118">
        <v>5653.285</v>
      </c>
      <c r="O147" s="117">
        <v>6256.69</v>
      </c>
      <c r="P147" s="117">
        <v>6984.065</v>
      </c>
    </row>
    <row r="148" ht="21" customHeight="1" spans="1:17">
      <c r="A148" s="115" t="s">
        <v>44</v>
      </c>
      <c r="B148" s="117">
        <v>3319.36</v>
      </c>
      <c r="C148" s="117">
        <v>3540.735</v>
      </c>
      <c r="D148" s="118">
        <v>3774.76</v>
      </c>
      <c r="E148" s="117">
        <v>4021.435</v>
      </c>
      <c r="F148" s="117">
        <v>4280.76</v>
      </c>
      <c r="G148" s="118">
        <v>4552.735</v>
      </c>
      <c r="H148" s="117">
        <v>5023.315</v>
      </c>
      <c r="I148" s="117">
        <v>5654.55</v>
      </c>
      <c r="J148" s="118">
        <v>6633.66</v>
      </c>
      <c r="K148" s="117">
        <v>7008.1</v>
      </c>
      <c r="L148" s="117">
        <v>7395.19</v>
      </c>
      <c r="M148" s="117">
        <v>7798.725</v>
      </c>
      <c r="N148" s="118">
        <v>8696.875</v>
      </c>
      <c r="O148" s="117">
        <v>9353.41</v>
      </c>
      <c r="P148" s="117">
        <v>10319.87</v>
      </c>
    </row>
    <row r="149" ht="21" customHeight="1" spans="1:17">
      <c r="A149" s="115" t="s">
        <v>45</v>
      </c>
      <c r="B149" s="117">
        <v>3596.395</v>
      </c>
      <c r="C149" s="117">
        <v>3817.77</v>
      </c>
      <c r="D149" s="118">
        <v>4053.06</v>
      </c>
      <c r="E149" s="117">
        <v>4299.735</v>
      </c>
      <c r="F149" s="117">
        <v>4559.06</v>
      </c>
      <c r="G149" s="118">
        <v>4831.035</v>
      </c>
      <c r="H149" s="117">
        <v>5313</v>
      </c>
      <c r="I149" s="117">
        <v>5944.235</v>
      </c>
      <c r="J149" s="118">
        <v>6932.2</v>
      </c>
      <c r="K149" s="117">
        <v>7306.64</v>
      </c>
      <c r="L149" s="117">
        <v>7694.995</v>
      </c>
      <c r="M149" s="117">
        <v>8097.265</v>
      </c>
      <c r="N149" s="118">
        <v>9323.05</v>
      </c>
      <c r="O149" s="117">
        <v>10741.115</v>
      </c>
      <c r="P149" s="117">
        <v>12227.49</v>
      </c>
    </row>
    <row r="150" ht="21" customHeight="1" spans="1:17">
      <c r="A150" s="115" t="s">
        <v>46</v>
      </c>
      <c r="B150" s="117">
        <v>4779.17</v>
      </c>
      <c r="C150" s="117">
        <v>5080.24</v>
      </c>
      <c r="D150" s="118">
        <v>5401.55</v>
      </c>
      <c r="E150" s="117">
        <v>5738.04</v>
      </c>
      <c r="F150" s="117">
        <v>6096.035</v>
      </c>
      <c r="G150" s="118">
        <v>6470.475</v>
      </c>
      <c r="H150" s="117">
        <v>7127.01</v>
      </c>
      <c r="I150" s="117">
        <v>7998.595</v>
      </c>
      <c r="J150" s="118">
        <v>9276.245</v>
      </c>
      <c r="K150" s="117">
        <v>9796.16</v>
      </c>
      <c r="L150" s="117">
        <v>10336.315</v>
      </c>
      <c r="M150" s="117">
        <v>10895.445</v>
      </c>
      <c r="N150" s="118">
        <v>12503.26</v>
      </c>
      <c r="O150" s="117">
        <v>14482.985</v>
      </c>
      <c r="P150" s="117">
        <v>16452.59</v>
      </c>
    </row>
    <row r="151" ht="21" customHeight="1" spans="1:17">
      <c r="A151" s="115" t="s">
        <v>39</v>
      </c>
      <c r="B151" s="117">
        <v>2542.65</v>
      </c>
      <c r="C151" s="117">
        <v>2581.865</v>
      </c>
      <c r="D151" s="118">
        <v>2650.175</v>
      </c>
      <c r="E151" s="117">
        <v>2694.45</v>
      </c>
      <c r="F151" s="117">
        <v>2846.25</v>
      </c>
      <c r="G151" s="118">
        <v>2923.415</v>
      </c>
      <c r="H151" s="117">
        <v>3181.475</v>
      </c>
      <c r="I151" s="117">
        <v>3320.625</v>
      </c>
      <c r="J151" s="118">
        <v>3655.85</v>
      </c>
      <c r="K151" s="117">
        <v>3869.635</v>
      </c>
      <c r="L151" s="117">
        <v>4185.885</v>
      </c>
      <c r="M151" s="117">
        <v>4346.54</v>
      </c>
      <c r="N151" s="118">
        <v>4743.75</v>
      </c>
      <c r="O151" s="117">
        <v>5054.94</v>
      </c>
      <c r="P151" s="117">
        <v>5257.34</v>
      </c>
    </row>
    <row r="152" ht="21" customHeight="1" spans="1:17">
      <c r="A152" s="115" t="s">
        <v>40</v>
      </c>
      <c r="B152" s="117">
        <v>2480.665</v>
      </c>
      <c r="C152" s="117">
        <v>2607.165</v>
      </c>
      <c r="D152" s="118">
        <v>2681.8</v>
      </c>
      <c r="E152" s="117">
        <v>2850.045</v>
      </c>
      <c r="F152" s="117">
        <v>2938.595</v>
      </c>
      <c r="G152" s="118">
        <v>3042.325</v>
      </c>
      <c r="H152" s="117">
        <v>3396.525</v>
      </c>
      <c r="I152" s="117">
        <v>3581.215</v>
      </c>
      <c r="J152" s="118">
        <v>3964.51</v>
      </c>
      <c r="K152" s="117">
        <v>4121.37</v>
      </c>
      <c r="L152" s="117">
        <v>4301</v>
      </c>
      <c r="M152" s="117">
        <v>4488.22</v>
      </c>
      <c r="N152" s="118">
        <v>5060</v>
      </c>
      <c r="O152" s="117">
        <v>5653.285</v>
      </c>
      <c r="P152" s="117">
        <v>6426.2</v>
      </c>
    </row>
    <row r="153" ht="21" customHeight="1" spans="1:17">
      <c r="A153" s="115" t="s">
        <v>41</v>
      </c>
      <c r="B153" s="117">
        <v>3612.84</v>
      </c>
      <c r="C153" s="117">
        <v>3770.965</v>
      </c>
      <c r="D153" s="118">
        <v>3862.045</v>
      </c>
      <c r="E153" s="117">
        <v>4066.975</v>
      </c>
      <c r="F153" s="117">
        <v>4174.5</v>
      </c>
      <c r="G153" s="118">
        <v>4302.265</v>
      </c>
      <c r="H153" s="117">
        <v>4782.965</v>
      </c>
      <c r="I153" s="117">
        <v>5004.34</v>
      </c>
      <c r="J153" s="118">
        <v>5396.49</v>
      </c>
      <c r="K153" s="117">
        <v>5592.565</v>
      </c>
      <c r="L153" s="117">
        <v>5819</v>
      </c>
      <c r="M153" s="117">
        <v>6041.64</v>
      </c>
      <c r="N153" s="118">
        <v>6560.29</v>
      </c>
      <c r="O153" s="117">
        <v>7106.77</v>
      </c>
      <c r="P153" s="117">
        <v>7880.95</v>
      </c>
    </row>
    <row r="154" ht="21" customHeight="1" spans="1:17">
      <c r="A154" s="115" t="s">
        <v>42</v>
      </c>
      <c r="B154" s="117">
        <v>1036.035</v>
      </c>
      <c r="C154" s="117">
        <v>1049.95</v>
      </c>
      <c r="D154" s="118">
        <v>1057.54</v>
      </c>
      <c r="E154" s="117">
        <v>1068.925</v>
      </c>
      <c r="F154" s="117">
        <v>1082.84</v>
      </c>
      <c r="G154" s="118">
        <v>1094.225</v>
      </c>
      <c r="H154" s="117">
        <v>1146.09</v>
      </c>
      <c r="I154" s="117">
        <v>1171.39</v>
      </c>
      <c r="J154" s="118">
        <v>1296.625</v>
      </c>
      <c r="K154" s="117">
        <v>1304.215</v>
      </c>
      <c r="L154" s="117">
        <v>1321.925</v>
      </c>
      <c r="M154" s="117">
        <v>1329.515</v>
      </c>
      <c r="N154" s="118">
        <v>1471.195</v>
      </c>
      <c r="O154" s="117">
        <v>1506.615</v>
      </c>
      <c r="P154" s="117">
        <v>1650.825</v>
      </c>
    </row>
    <row r="155" ht="76.5" customHeight="1" spans="1:17">
      <c r="A155" s="122"/>
      <c r="B155" s="15"/>
      <c r="C155" s="15"/>
      <c r="D155" s="15"/>
      <c r="E155" s="15"/>
      <c r="F155" s="15"/>
      <c r="G155" s="15"/>
      <c r="H155" s="15"/>
      <c r="I155" s="15"/>
      <c r="J155" s="51"/>
      <c r="K155" s="15"/>
      <c r="L155" s="15"/>
      <c r="M155" s="15"/>
      <c r="N155" s="51"/>
      <c r="O155" s="15"/>
      <c r="P155" s="15"/>
      <c r="Q155" s="126"/>
    </row>
    <row r="156" ht="24" customHeight="1" spans="1:17">
      <c r="A156" s="120" t="s">
        <v>35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ht="20.25" customHeight="1" spans="1:17">
      <c r="A157" s="122"/>
      <c r="B157" s="134"/>
      <c r="C157" s="134"/>
      <c r="D157" s="134"/>
      <c r="E157" s="134"/>
      <c r="F157" s="134"/>
      <c r="G157" s="134"/>
      <c r="H157" s="134"/>
      <c r="I157" s="134"/>
      <c r="J157" s="135"/>
      <c r="K157" s="134"/>
      <c r="L157" s="134"/>
      <c r="M157" s="134"/>
      <c r="N157" s="135"/>
      <c r="O157" s="134"/>
      <c r="P157" s="134"/>
    </row>
    <row r="158" ht="26.25" customHeight="1" spans="1:17">
      <c r="A158" s="136" t="s">
        <v>50</v>
      </c>
    </row>
    <row r="159" ht="20.25" customHeight="1" spans="1:17">
      <c r="A159" s="124"/>
      <c r="B159" s="125" t="s">
        <v>2</v>
      </c>
      <c r="C159" s="125" t="s">
        <v>3</v>
      </c>
      <c r="D159" s="125" t="s">
        <v>4</v>
      </c>
      <c r="E159" s="125" t="s">
        <v>5</v>
      </c>
      <c r="F159" s="125" t="s">
        <v>6</v>
      </c>
      <c r="G159" s="125" t="s">
        <v>7</v>
      </c>
      <c r="H159" s="125" t="s">
        <v>8</v>
      </c>
      <c r="I159" s="125" t="s">
        <v>9</v>
      </c>
      <c r="J159" s="125" t="s">
        <v>10</v>
      </c>
      <c r="K159" s="125" t="s">
        <v>11</v>
      </c>
      <c r="L159" s="125" t="s">
        <v>12</v>
      </c>
      <c r="M159" s="125" t="s">
        <v>13</v>
      </c>
      <c r="N159" s="125" t="s">
        <v>14</v>
      </c>
      <c r="O159" s="125" t="s">
        <v>15</v>
      </c>
      <c r="P159" s="125" t="s">
        <v>16</v>
      </c>
    </row>
    <row r="160" ht="21.75" customHeight="1" spans="1:17">
      <c r="A160" s="115" t="s">
        <v>17</v>
      </c>
      <c r="B160" s="117">
        <v>1816.54</v>
      </c>
      <c r="C160" s="117">
        <v>1927.86</v>
      </c>
      <c r="D160" s="118">
        <v>2085.985</v>
      </c>
      <c r="E160" s="117">
        <v>2182.125</v>
      </c>
      <c r="F160" s="117">
        <v>2309.89</v>
      </c>
      <c r="G160" s="118">
        <v>2489.52</v>
      </c>
      <c r="H160" s="117">
        <v>2662.825</v>
      </c>
      <c r="I160" s="117">
        <v>2925.945</v>
      </c>
      <c r="J160" s="118">
        <v>3294.06</v>
      </c>
      <c r="K160" s="117">
        <v>3516.7</v>
      </c>
      <c r="L160" s="117">
        <v>3653.32</v>
      </c>
      <c r="M160" s="117">
        <v>3829.155</v>
      </c>
      <c r="N160" s="118">
        <v>4055.59</v>
      </c>
      <c r="O160" s="117">
        <v>4708.33</v>
      </c>
      <c r="P160" s="117">
        <v>5140.96</v>
      </c>
    </row>
    <row r="161" ht="21.75" customHeight="1" spans="1:16">
      <c r="A161" s="115" t="s">
        <v>18</v>
      </c>
      <c r="B161" s="117">
        <v>1478.785</v>
      </c>
      <c r="C161" s="117">
        <v>1563.54</v>
      </c>
      <c r="D161" s="118">
        <v>1753.29</v>
      </c>
      <c r="E161" s="117">
        <v>1848.165</v>
      </c>
      <c r="F161" s="117">
        <v>1983.52</v>
      </c>
      <c r="G161" s="118">
        <v>2087.25</v>
      </c>
      <c r="H161" s="117">
        <v>2207.425</v>
      </c>
      <c r="I161" s="117">
        <v>2628.67</v>
      </c>
      <c r="J161" s="118">
        <v>2846.25</v>
      </c>
      <c r="K161" s="117">
        <v>3036</v>
      </c>
      <c r="L161" s="117">
        <v>3187.8</v>
      </c>
      <c r="M161" s="117">
        <v>3399.055</v>
      </c>
      <c r="N161" s="118">
        <v>3653.32</v>
      </c>
      <c r="O161" s="117">
        <v>3840.54</v>
      </c>
      <c r="P161" s="117">
        <v>4269.375</v>
      </c>
    </row>
    <row r="162" ht="21.75" customHeight="1" spans="1:16">
      <c r="A162" s="115" t="s">
        <v>19</v>
      </c>
      <c r="B162" s="117">
        <v>1141.03</v>
      </c>
      <c r="C162" s="117">
        <v>1275.12</v>
      </c>
      <c r="D162" s="118">
        <v>1388.97</v>
      </c>
      <c r="E162" s="117">
        <v>1478.785</v>
      </c>
      <c r="F162" s="117">
        <v>1706.485</v>
      </c>
      <c r="G162" s="118">
        <v>1802.625</v>
      </c>
      <c r="H162" s="117">
        <v>1926.595</v>
      </c>
      <c r="I162" s="117">
        <v>2087.25</v>
      </c>
      <c r="J162" s="118">
        <v>2277</v>
      </c>
      <c r="K162" s="117">
        <v>2466.75</v>
      </c>
      <c r="L162" s="117">
        <v>2561.625</v>
      </c>
      <c r="M162" s="117">
        <v>2656.5</v>
      </c>
      <c r="N162" s="118">
        <v>2865.225</v>
      </c>
      <c r="O162" s="117">
        <v>3225.75</v>
      </c>
      <c r="P162" s="117">
        <v>3510.375</v>
      </c>
    </row>
    <row r="163" ht="21.75" customHeight="1" spans="1:16">
      <c r="A163" s="115" t="s">
        <v>20</v>
      </c>
      <c r="B163" s="117">
        <v>966.46</v>
      </c>
      <c r="C163" s="117">
        <v>1053.745</v>
      </c>
      <c r="D163" s="118">
        <v>1214.4</v>
      </c>
      <c r="E163" s="117">
        <v>1309.275</v>
      </c>
      <c r="F163" s="117">
        <v>1471.195</v>
      </c>
      <c r="G163" s="118">
        <v>1578.72</v>
      </c>
      <c r="H163" s="117">
        <v>1684.98</v>
      </c>
      <c r="I163" s="117">
        <v>1843.105</v>
      </c>
      <c r="J163" s="118">
        <v>2199.835</v>
      </c>
      <c r="K163" s="117">
        <v>2222.605</v>
      </c>
      <c r="L163" s="117">
        <v>2303.565</v>
      </c>
      <c r="M163" s="117">
        <v>2379.465</v>
      </c>
      <c r="N163" s="118">
        <v>2709.63</v>
      </c>
      <c r="O163" s="117">
        <v>2962.63</v>
      </c>
      <c r="P163" s="117">
        <v>3429.415</v>
      </c>
    </row>
    <row r="164" ht="21.75" customHeight="1" spans="1:16">
      <c r="A164" s="115" t="s">
        <v>21</v>
      </c>
      <c r="B164" s="117">
        <v>944.955</v>
      </c>
      <c r="C164" s="117">
        <v>993.025</v>
      </c>
      <c r="D164" s="118">
        <v>1061.335</v>
      </c>
      <c r="E164" s="117">
        <v>1103.08</v>
      </c>
      <c r="F164" s="117">
        <v>1156.21</v>
      </c>
      <c r="G164" s="118">
        <v>1233.375</v>
      </c>
      <c r="H164" s="117">
        <v>1313.07</v>
      </c>
      <c r="I164" s="117">
        <v>1425.655</v>
      </c>
      <c r="J164" s="118">
        <v>1703.955</v>
      </c>
      <c r="K164" s="117">
        <v>1719.135</v>
      </c>
      <c r="L164" s="117">
        <v>1778.59</v>
      </c>
      <c r="M164" s="117">
        <v>1836.78</v>
      </c>
      <c r="N164" s="118">
        <v>2091.045</v>
      </c>
      <c r="O164" s="117">
        <v>2273.205</v>
      </c>
      <c r="P164" s="117">
        <v>2632.465</v>
      </c>
    </row>
    <row r="165" ht="21.75" customHeight="1" spans="1:16">
      <c r="A165" s="115" t="s">
        <v>22</v>
      </c>
      <c r="B165" s="117">
        <v>655.27</v>
      </c>
      <c r="C165" s="117">
        <v>681.835</v>
      </c>
      <c r="D165" s="118">
        <v>723.58</v>
      </c>
      <c r="E165" s="117">
        <v>747.615</v>
      </c>
      <c r="F165" s="117">
        <v>780.505</v>
      </c>
      <c r="G165" s="118">
        <v>826.045</v>
      </c>
      <c r="H165" s="117">
        <v>876.645</v>
      </c>
      <c r="I165" s="117">
        <v>944.955</v>
      </c>
      <c r="J165" s="118">
        <v>1142.295</v>
      </c>
      <c r="K165" s="117">
        <v>1152.415</v>
      </c>
      <c r="L165" s="117">
        <v>1186.57</v>
      </c>
      <c r="M165" s="117">
        <v>1221.99</v>
      </c>
      <c r="N165" s="118">
        <v>1406.68</v>
      </c>
      <c r="O165" s="117">
        <v>1514.205</v>
      </c>
      <c r="P165" s="117">
        <v>1763.41</v>
      </c>
    </row>
    <row r="166" ht="21.75" customHeight="1" spans="1:16">
      <c r="A166" s="115" t="s">
        <v>23</v>
      </c>
      <c r="B166" s="117">
        <v>1706.485</v>
      </c>
      <c r="C166" s="117">
        <v>1908.885</v>
      </c>
      <c r="D166" s="118">
        <v>2087.25</v>
      </c>
      <c r="E166" s="117">
        <v>2245.375</v>
      </c>
      <c r="F166" s="117">
        <v>2480.665</v>
      </c>
      <c r="G166" s="118">
        <v>2659.03</v>
      </c>
      <c r="H166" s="117">
        <v>2960.1</v>
      </c>
      <c r="I166" s="117">
        <v>3080.275</v>
      </c>
      <c r="J166" s="118">
        <v>3495.195</v>
      </c>
      <c r="K166" s="117">
        <v>3695.065</v>
      </c>
      <c r="L166" s="117">
        <v>3855.72</v>
      </c>
      <c r="M166" s="117">
        <v>4037.88</v>
      </c>
      <c r="N166" s="118">
        <v>4670.38</v>
      </c>
      <c r="O166" s="117">
        <v>4914.525</v>
      </c>
      <c r="P166" s="117">
        <v>5369.925</v>
      </c>
    </row>
    <row r="167" ht="21.75" customHeight="1" spans="1:16">
      <c r="A167" s="115" t="s">
        <v>24</v>
      </c>
      <c r="B167" s="117">
        <v>1611.61</v>
      </c>
      <c r="C167" s="117">
        <v>1814.01</v>
      </c>
      <c r="D167" s="118">
        <v>1992.375</v>
      </c>
      <c r="E167" s="117">
        <v>2150.5</v>
      </c>
      <c r="F167" s="117">
        <v>2385.79</v>
      </c>
      <c r="G167" s="118">
        <v>2564.155</v>
      </c>
      <c r="H167" s="117">
        <v>2865.225</v>
      </c>
      <c r="I167" s="117">
        <v>2985.4</v>
      </c>
      <c r="J167" s="118">
        <v>3400.32</v>
      </c>
      <c r="K167" s="117">
        <v>3600.19</v>
      </c>
      <c r="L167" s="117">
        <v>3760.845</v>
      </c>
      <c r="M167" s="117">
        <v>3943.005</v>
      </c>
      <c r="N167" s="118">
        <v>4322.505</v>
      </c>
      <c r="O167" s="117">
        <v>4819.65</v>
      </c>
      <c r="P167" s="117">
        <v>5275.05</v>
      </c>
    </row>
    <row r="168" ht="21.75" customHeight="1" spans="1:16">
      <c r="A168" s="115" t="s">
        <v>25</v>
      </c>
      <c r="B168" s="117">
        <v>1407.945</v>
      </c>
      <c r="C168" s="117">
        <v>1495.23</v>
      </c>
      <c r="D168" s="118">
        <v>1630.585</v>
      </c>
      <c r="E168" s="117">
        <v>1776.06</v>
      </c>
      <c r="F168" s="117">
        <v>1915.21</v>
      </c>
      <c r="G168" s="118">
        <v>1996.17</v>
      </c>
      <c r="H168" s="117">
        <v>2216.28</v>
      </c>
      <c r="I168" s="117">
        <v>2641.32</v>
      </c>
      <c r="J168" s="118">
        <v>2719.75</v>
      </c>
      <c r="K168" s="117">
        <v>2905.705</v>
      </c>
      <c r="L168" s="117">
        <v>3172.62</v>
      </c>
      <c r="M168" s="117">
        <v>3509.11</v>
      </c>
      <c r="N168" s="118">
        <v>4188.415</v>
      </c>
      <c r="O168" s="117">
        <v>4537.555</v>
      </c>
      <c r="P168" s="117">
        <v>4746.28</v>
      </c>
    </row>
    <row r="169" ht="21.75" customHeight="1" spans="1:16">
      <c r="A169" s="115" t="s">
        <v>44</v>
      </c>
      <c r="B169" s="117">
        <v>3036</v>
      </c>
      <c r="C169" s="117">
        <v>3129.61</v>
      </c>
      <c r="D169" s="118">
        <v>3239.665</v>
      </c>
      <c r="E169" s="117">
        <v>3353.515</v>
      </c>
      <c r="F169" s="117">
        <v>3474.955</v>
      </c>
      <c r="G169" s="118">
        <v>3601.455</v>
      </c>
      <c r="H169" s="117">
        <v>3877.225</v>
      </c>
      <c r="I169" s="117">
        <v>4170.705</v>
      </c>
      <c r="J169" s="118">
        <v>4728.57</v>
      </c>
      <c r="K169" s="117">
        <v>4903.14</v>
      </c>
      <c r="L169" s="117">
        <v>5084.035</v>
      </c>
      <c r="M169" s="117">
        <v>5271.255</v>
      </c>
      <c r="N169" s="118">
        <v>5941.705</v>
      </c>
      <c r="O169" s="117">
        <v>6602.035</v>
      </c>
      <c r="P169" s="117">
        <v>7396.455</v>
      </c>
    </row>
    <row r="170" ht="21.75" customHeight="1" spans="1:16">
      <c r="A170" s="115" t="s">
        <v>45</v>
      </c>
      <c r="B170" s="117">
        <v>3665.97</v>
      </c>
      <c r="C170" s="117">
        <v>3820.3</v>
      </c>
      <c r="D170" s="118">
        <v>3992.34</v>
      </c>
      <c r="E170" s="117">
        <v>4174.5</v>
      </c>
      <c r="F170" s="117">
        <v>4366.78</v>
      </c>
      <c r="G170" s="118">
        <v>4567.915</v>
      </c>
      <c r="H170" s="117">
        <v>4962.595</v>
      </c>
      <c r="I170" s="117">
        <v>5426.85</v>
      </c>
      <c r="J170" s="118">
        <v>6223.8</v>
      </c>
      <c r="K170" s="117">
        <v>6500.835</v>
      </c>
      <c r="L170" s="117">
        <v>6932.2</v>
      </c>
      <c r="M170" s="117">
        <v>7252.245</v>
      </c>
      <c r="N170" s="118">
        <v>8275.63</v>
      </c>
      <c r="O170" s="117">
        <v>9404.01</v>
      </c>
      <c r="P170" s="117">
        <v>10633.59</v>
      </c>
    </row>
    <row r="171" ht="21.75" customHeight="1" spans="1:16">
      <c r="A171" s="115" t="s">
        <v>46</v>
      </c>
      <c r="B171" s="117">
        <v>4780.435</v>
      </c>
      <c r="C171" s="117">
        <v>4992.955</v>
      </c>
      <c r="D171" s="118">
        <v>5229.51</v>
      </c>
      <c r="E171" s="117">
        <v>5478.715</v>
      </c>
      <c r="F171" s="117">
        <v>5741.835</v>
      </c>
      <c r="G171" s="118">
        <v>6028.99</v>
      </c>
      <c r="H171" s="117">
        <v>6584.325</v>
      </c>
      <c r="I171" s="117">
        <v>7278.81</v>
      </c>
      <c r="J171" s="118">
        <v>8394.54</v>
      </c>
      <c r="K171" s="117">
        <v>8808.195</v>
      </c>
      <c r="L171" s="117">
        <v>9239.56</v>
      </c>
      <c r="M171" s="117">
        <v>9683.575</v>
      </c>
      <c r="N171" s="118">
        <v>11066.22</v>
      </c>
      <c r="O171" s="117">
        <v>12641.145</v>
      </c>
      <c r="P171" s="117">
        <v>14317.27</v>
      </c>
    </row>
    <row r="172" ht="21.75" customHeight="1" spans="1:16">
      <c r="A172" s="115" t="s">
        <v>29</v>
      </c>
      <c r="B172" s="117">
        <v>2727.34</v>
      </c>
      <c r="C172" s="117">
        <v>2867.755</v>
      </c>
      <c r="D172" s="118">
        <v>2944.92</v>
      </c>
      <c r="E172" s="117">
        <v>3137.2</v>
      </c>
      <c r="F172" s="117">
        <v>3232.075</v>
      </c>
      <c r="G172" s="118">
        <v>3345.925</v>
      </c>
      <c r="H172" s="117">
        <v>3745.665</v>
      </c>
      <c r="I172" s="117">
        <v>3945.535</v>
      </c>
      <c r="J172" s="118">
        <v>4470.51</v>
      </c>
      <c r="K172" s="117">
        <v>4655.2</v>
      </c>
      <c r="L172" s="117">
        <v>4867.72</v>
      </c>
      <c r="M172" s="117">
        <v>5087.83</v>
      </c>
      <c r="N172" s="118">
        <v>5778.52</v>
      </c>
      <c r="O172" s="117">
        <v>6299.7</v>
      </c>
      <c r="P172" s="117">
        <v>7312.965</v>
      </c>
    </row>
    <row r="173" ht="21.75" customHeight="1" spans="1:16">
      <c r="A173" s="115" t="s">
        <v>30</v>
      </c>
      <c r="B173" s="117">
        <v>1168.86</v>
      </c>
      <c r="C173" s="117">
        <v>1194.16</v>
      </c>
      <c r="D173" s="118">
        <v>1220.725</v>
      </c>
      <c r="E173" s="117">
        <v>1247.29</v>
      </c>
      <c r="F173" s="117">
        <v>1277.65</v>
      </c>
      <c r="G173" s="118">
        <v>1308.01</v>
      </c>
      <c r="H173" s="117">
        <v>1381.38</v>
      </c>
      <c r="I173" s="117">
        <v>1453.485</v>
      </c>
      <c r="J173" s="118">
        <v>1577.455</v>
      </c>
      <c r="K173" s="117">
        <v>1619.2</v>
      </c>
      <c r="L173" s="117">
        <v>1666.005</v>
      </c>
      <c r="M173" s="117">
        <v>1707.75</v>
      </c>
      <c r="N173" s="118">
        <v>1862.08</v>
      </c>
      <c r="O173" s="117">
        <v>2026.53</v>
      </c>
      <c r="P173" s="117">
        <v>2218.81</v>
      </c>
    </row>
    <row r="174" ht="21.75" customHeight="1" spans="1:16">
      <c r="A174" s="115" t="s">
        <v>31</v>
      </c>
      <c r="B174" s="117">
        <v>1540.77</v>
      </c>
      <c r="C174" s="117">
        <v>1562.275</v>
      </c>
      <c r="D174" s="118">
        <v>1585.045</v>
      </c>
      <c r="E174" s="117">
        <v>1607.815</v>
      </c>
      <c r="F174" s="117">
        <v>1631.85</v>
      </c>
      <c r="G174" s="118">
        <v>1657.15</v>
      </c>
      <c r="H174" s="117">
        <v>1745.7</v>
      </c>
      <c r="I174" s="117">
        <v>1802.625</v>
      </c>
      <c r="J174" s="118">
        <v>1934.185</v>
      </c>
      <c r="K174" s="117">
        <v>1965.81</v>
      </c>
      <c r="L174" s="117">
        <v>1999.965</v>
      </c>
      <c r="M174" s="117">
        <v>2034.12</v>
      </c>
      <c r="N174" s="118">
        <v>2184.655</v>
      </c>
      <c r="O174" s="117">
        <v>2306.095</v>
      </c>
      <c r="P174" s="117">
        <v>2474.34</v>
      </c>
    </row>
    <row r="175" ht="21.75" customHeight="1" spans="1:16">
      <c r="A175" s="115" t="s">
        <v>32</v>
      </c>
      <c r="B175" s="117">
        <v>0</v>
      </c>
      <c r="C175" s="117">
        <v>0</v>
      </c>
      <c r="D175" s="118">
        <v>0</v>
      </c>
      <c r="E175" s="117">
        <v>0</v>
      </c>
      <c r="F175" s="117">
        <v>0</v>
      </c>
      <c r="G175" s="118">
        <v>0</v>
      </c>
      <c r="H175" s="117">
        <v>1262.47</v>
      </c>
      <c r="I175" s="117">
        <v>1332.045</v>
      </c>
      <c r="J175" s="118">
        <v>1459.81</v>
      </c>
      <c r="K175" s="117">
        <v>1501.555</v>
      </c>
      <c r="L175" s="117">
        <v>1548.36</v>
      </c>
      <c r="M175" s="117">
        <v>1590.105</v>
      </c>
      <c r="N175" s="118">
        <v>1820.335</v>
      </c>
      <c r="O175" s="117">
        <v>1980.99</v>
      </c>
      <c r="P175" s="117">
        <v>2170.74</v>
      </c>
    </row>
    <row r="176" ht="21.75" customHeight="1" spans="1:16">
      <c r="A176" s="115" t="s">
        <v>33</v>
      </c>
      <c r="B176" s="117">
        <v>1055.01</v>
      </c>
      <c r="C176" s="117">
        <v>1065.13</v>
      </c>
      <c r="D176" s="118">
        <v>1070.19</v>
      </c>
      <c r="E176" s="117">
        <v>1080.31</v>
      </c>
      <c r="F176" s="117">
        <v>1089.165</v>
      </c>
      <c r="G176" s="118">
        <v>1096.755</v>
      </c>
      <c r="H176" s="117">
        <v>1141.03</v>
      </c>
      <c r="I176" s="117">
        <v>1160.005</v>
      </c>
      <c r="J176" s="118">
        <v>1282.71</v>
      </c>
      <c r="K176" s="117">
        <v>1289.035</v>
      </c>
      <c r="L176" s="117">
        <v>1649.56</v>
      </c>
      <c r="M176" s="117">
        <v>1308.01</v>
      </c>
      <c r="N176" s="118">
        <v>1444.63</v>
      </c>
      <c r="O176" s="117">
        <v>1471.195</v>
      </c>
      <c r="P176" s="117">
        <v>1423.125</v>
      </c>
    </row>
    <row r="177" ht="21.75" customHeight="1" spans="1:17">
      <c r="A177" s="115" t="s">
        <v>34</v>
      </c>
      <c r="B177" s="117">
        <v>1182.775</v>
      </c>
      <c r="C177" s="117">
        <v>1205.545</v>
      </c>
      <c r="D177" s="118">
        <v>1232.11</v>
      </c>
      <c r="E177" s="117">
        <v>1252.35</v>
      </c>
      <c r="F177" s="117">
        <v>1277.65</v>
      </c>
      <c r="G177" s="118">
        <v>1304.215</v>
      </c>
      <c r="H177" s="117">
        <v>1377.585</v>
      </c>
      <c r="I177" s="117">
        <v>1434.51</v>
      </c>
      <c r="J177" s="118">
        <v>1468.665</v>
      </c>
      <c r="K177" s="117">
        <v>1497.76</v>
      </c>
      <c r="L177" s="117">
        <v>1501.555</v>
      </c>
      <c r="M177" s="117">
        <v>1539.505</v>
      </c>
      <c r="N177" s="118">
        <v>1668.535</v>
      </c>
      <c r="O177" s="117">
        <v>1755.82</v>
      </c>
      <c r="P177" s="117">
        <v>1946.835</v>
      </c>
    </row>
    <row r="178" ht="20.25" customHeight="1" spans="1:17">
      <c r="A178" s="122"/>
      <c r="B178" s="15"/>
      <c r="C178" s="15"/>
      <c r="D178" s="15"/>
      <c r="E178" s="15"/>
      <c r="F178" s="15"/>
      <c r="G178" s="15"/>
      <c r="H178" s="15"/>
      <c r="I178" s="15"/>
      <c r="J178" s="51"/>
      <c r="K178" s="15"/>
      <c r="L178" s="15"/>
      <c r="M178" s="15"/>
      <c r="N178" s="51"/>
      <c r="O178" s="15"/>
      <c r="P178" s="15"/>
      <c r="Q178" s="126"/>
    </row>
    <row r="179" ht="24" customHeight="1" spans="1:17">
      <c r="A179" s="120" t="s">
        <v>35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ht="20.25" customHeight="1" spans="1:17">
      <c r="A180" s="122"/>
      <c r="B180" s="134"/>
      <c r="C180" s="134"/>
      <c r="D180" s="134"/>
      <c r="E180" s="134"/>
      <c r="F180" s="134"/>
      <c r="G180" s="134"/>
      <c r="H180" s="134"/>
      <c r="I180" s="134"/>
      <c r="J180" s="135"/>
      <c r="K180" s="134"/>
      <c r="L180" s="134"/>
      <c r="M180" s="134"/>
      <c r="N180" s="135"/>
      <c r="O180" s="134"/>
      <c r="P180" s="134"/>
    </row>
    <row r="181" ht="26.25" customHeight="1" spans="1:17">
      <c r="A181" s="136" t="s">
        <v>51</v>
      </c>
    </row>
    <row r="182" ht="20.25" customHeight="1" spans="1:17">
      <c r="A182" s="124"/>
      <c r="B182" s="125" t="s">
        <v>2</v>
      </c>
      <c r="C182" s="125" t="s">
        <v>3</v>
      </c>
      <c r="D182" s="125" t="s">
        <v>4</v>
      </c>
      <c r="E182" s="125" t="s">
        <v>5</v>
      </c>
      <c r="F182" s="125" t="s">
        <v>6</v>
      </c>
      <c r="G182" s="125" t="s">
        <v>7</v>
      </c>
      <c r="H182" s="125" t="s">
        <v>8</v>
      </c>
      <c r="I182" s="125" t="s">
        <v>9</v>
      </c>
      <c r="J182" s="125" t="s">
        <v>10</v>
      </c>
      <c r="K182" s="125" t="s">
        <v>11</v>
      </c>
      <c r="L182" s="125" t="s">
        <v>12</v>
      </c>
      <c r="M182" s="125" t="s">
        <v>13</v>
      </c>
      <c r="N182" s="125" t="s">
        <v>14</v>
      </c>
      <c r="O182" s="125" t="s">
        <v>15</v>
      </c>
      <c r="P182" s="125" t="s">
        <v>16</v>
      </c>
    </row>
    <row r="183" ht="21" customHeight="1" spans="1:17">
      <c r="A183" s="115" t="s">
        <v>17</v>
      </c>
      <c r="B183" s="117">
        <v>2516.085</v>
      </c>
      <c r="C183" s="117">
        <v>2852.575</v>
      </c>
      <c r="D183" s="118">
        <v>2989.195</v>
      </c>
      <c r="E183" s="117">
        <v>3254.845</v>
      </c>
      <c r="F183" s="117">
        <v>3455.98</v>
      </c>
      <c r="G183" s="118">
        <v>3740.605</v>
      </c>
      <c r="H183" s="117">
        <v>4006.255</v>
      </c>
      <c r="I183" s="117">
        <v>4424.97</v>
      </c>
      <c r="J183" s="118">
        <v>4962.595</v>
      </c>
      <c r="K183" s="117">
        <v>5019.52</v>
      </c>
      <c r="L183" s="117">
        <v>5221.92</v>
      </c>
      <c r="M183" s="117">
        <v>5426.85</v>
      </c>
      <c r="N183" s="118">
        <v>6116.275</v>
      </c>
      <c r="O183" s="117">
        <v>6747.51</v>
      </c>
      <c r="P183" s="117">
        <v>7783.545</v>
      </c>
    </row>
    <row r="184" ht="21" customHeight="1" spans="1:17">
      <c r="A184" s="115" t="s">
        <v>18</v>
      </c>
      <c r="B184" s="117">
        <v>2268.145</v>
      </c>
      <c r="C184" s="117">
        <v>2428.8</v>
      </c>
      <c r="D184" s="118">
        <v>2652.705</v>
      </c>
      <c r="E184" s="117">
        <v>2791.855</v>
      </c>
      <c r="F184" s="117">
        <v>2974.015</v>
      </c>
      <c r="G184" s="118">
        <v>3229.545</v>
      </c>
      <c r="H184" s="117">
        <v>3471.16</v>
      </c>
      <c r="I184" s="117">
        <v>3848.13</v>
      </c>
      <c r="J184" s="118">
        <v>4599.54</v>
      </c>
      <c r="K184" s="117">
        <v>4655.2</v>
      </c>
      <c r="L184" s="117">
        <v>4850.01</v>
      </c>
      <c r="M184" s="117">
        <v>5046.085</v>
      </c>
      <c r="N184" s="118">
        <v>5711.475</v>
      </c>
      <c r="O184" s="117">
        <v>6317.41</v>
      </c>
      <c r="P184" s="117">
        <v>7316.76</v>
      </c>
    </row>
    <row r="185" ht="21" customHeight="1" spans="1:17">
      <c r="A185" s="115" t="s">
        <v>19</v>
      </c>
      <c r="B185" s="117">
        <v>1889.91</v>
      </c>
      <c r="C185" s="117">
        <v>2018.94</v>
      </c>
      <c r="D185" s="118">
        <v>2427.535</v>
      </c>
      <c r="E185" s="117">
        <v>2554.035</v>
      </c>
      <c r="F185" s="117">
        <v>2717.22</v>
      </c>
      <c r="G185" s="118">
        <v>2948.715</v>
      </c>
      <c r="H185" s="117">
        <v>3168.825</v>
      </c>
      <c r="I185" s="117">
        <v>3509.11</v>
      </c>
      <c r="J185" s="118">
        <v>4074.565</v>
      </c>
      <c r="K185" s="117">
        <v>4246.605</v>
      </c>
      <c r="L185" s="117">
        <v>4423.705</v>
      </c>
      <c r="M185" s="117">
        <v>4599.54</v>
      </c>
      <c r="N185" s="118">
        <v>5209.27</v>
      </c>
      <c r="O185" s="117">
        <v>5757.015</v>
      </c>
      <c r="P185" s="117">
        <v>6670.345</v>
      </c>
    </row>
    <row r="186" ht="21" customHeight="1" spans="1:17">
      <c r="A186" s="115" t="s">
        <v>20</v>
      </c>
      <c r="B186" s="117">
        <v>1683.715</v>
      </c>
      <c r="C186" s="117">
        <v>1786.18</v>
      </c>
      <c r="D186" s="118">
        <v>1926.595</v>
      </c>
      <c r="E186" s="117">
        <v>2013.88</v>
      </c>
      <c r="F186" s="117">
        <v>2128.995</v>
      </c>
      <c r="G186" s="118">
        <v>2290.915</v>
      </c>
      <c r="H186" s="117">
        <v>2447.775</v>
      </c>
      <c r="I186" s="117">
        <v>2686.86</v>
      </c>
      <c r="J186" s="118">
        <v>3004.375</v>
      </c>
      <c r="K186" s="117">
        <v>3228.28</v>
      </c>
      <c r="L186" s="117">
        <v>3350.985</v>
      </c>
      <c r="M186" s="117">
        <v>3474.955</v>
      </c>
      <c r="N186" s="118">
        <v>3927.825</v>
      </c>
      <c r="O186" s="117">
        <v>4311.12</v>
      </c>
      <c r="P186" s="117">
        <v>4977.775</v>
      </c>
    </row>
    <row r="187" ht="21" customHeight="1" spans="1:17">
      <c r="A187" s="115" t="s">
        <v>21</v>
      </c>
      <c r="B187" s="117">
        <v>1335.84</v>
      </c>
      <c r="C187" s="117">
        <v>1407.945</v>
      </c>
      <c r="D187" s="118">
        <v>1509.145</v>
      </c>
      <c r="E187" s="117">
        <v>1571.13</v>
      </c>
      <c r="F187" s="117">
        <v>1653.355</v>
      </c>
      <c r="G187" s="118">
        <v>1768.47</v>
      </c>
      <c r="H187" s="117">
        <v>1888.645</v>
      </c>
      <c r="I187" s="117">
        <v>2056.89</v>
      </c>
      <c r="J187" s="118">
        <v>2443.98</v>
      </c>
      <c r="K187" s="117">
        <v>2469.28</v>
      </c>
      <c r="L187" s="117">
        <v>2557.83</v>
      </c>
      <c r="M187" s="117">
        <v>2645.115</v>
      </c>
      <c r="N187" s="118">
        <v>2996.785</v>
      </c>
      <c r="O187" s="117">
        <v>3271.29</v>
      </c>
      <c r="P187" s="117">
        <v>3776.025</v>
      </c>
    </row>
    <row r="188" ht="21" customHeight="1" spans="1:17">
      <c r="A188" s="115" t="s">
        <v>22</v>
      </c>
      <c r="B188" s="117">
        <v>920.92</v>
      </c>
      <c r="C188" s="117">
        <v>963.93</v>
      </c>
      <c r="D188" s="118">
        <v>1024.65</v>
      </c>
      <c r="E188" s="117">
        <v>1062.6</v>
      </c>
      <c r="F188" s="117">
        <v>1111.935</v>
      </c>
      <c r="G188" s="118">
        <v>1182.775</v>
      </c>
      <c r="H188" s="117">
        <v>1256.145</v>
      </c>
      <c r="I188" s="117">
        <v>1358.61</v>
      </c>
      <c r="J188" s="118">
        <v>1624.26</v>
      </c>
      <c r="K188" s="117">
        <v>1639.44</v>
      </c>
      <c r="L188" s="117">
        <v>1692.57</v>
      </c>
      <c r="M188" s="117">
        <v>1745.7</v>
      </c>
      <c r="N188" s="118">
        <v>1991.11</v>
      </c>
      <c r="O188" s="117">
        <v>2155.56</v>
      </c>
      <c r="P188" s="117">
        <v>2495.845</v>
      </c>
    </row>
    <row r="189" ht="21" customHeight="1" spans="1:17">
      <c r="A189" s="115" t="s">
        <v>23</v>
      </c>
      <c r="B189" s="117">
        <v>2860.165</v>
      </c>
      <c r="C189" s="117">
        <v>3058.77</v>
      </c>
      <c r="D189" s="118">
        <v>3334.54</v>
      </c>
      <c r="E189" s="117">
        <v>3601.455</v>
      </c>
      <c r="F189" s="117">
        <v>3824.095</v>
      </c>
      <c r="G189" s="118">
        <v>4139.08</v>
      </c>
      <c r="H189" s="117">
        <v>4618.515</v>
      </c>
      <c r="I189" s="117">
        <v>5100.48</v>
      </c>
      <c r="J189" s="118">
        <v>5825.325</v>
      </c>
      <c r="K189" s="117">
        <v>5893.635</v>
      </c>
      <c r="L189" s="117">
        <v>6135.25</v>
      </c>
      <c r="M189" s="117">
        <v>6375.6</v>
      </c>
      <c r="N189" s="118">
        <v>6925.875</v>
      </c>
      <c r="O189" s="117">
        <v>7650.72</v>
      </c>
      <c r="P189" s="117">
        <v>8523.57</v>
      </c>
    </row>
    <row r="190" ht="21" customHeight="1" spans="1:17">
      <c r="A190" s="115" t="s">
        <v>24</v>
      </c>
      <c r="B190" s="117">
        <v>2717.22</v>
      </c>
      <c r="C190" s="117">
        <v>2917.09</v>
      </c>
      <c r="D190" s="118">
        <v>3191.595</v>
      </c>
      <c r="E190" s="117">
        <v>3459.775</v>
      </c>
      <c r="F190" s="117">
        <v>3681.15</v>
      </c>
      <c r="G190" s="118">
        <v>3996.135</v>
      </c>
      <c r="H190" s="117">
        <v>4476.835</v>
      </c>
      <c r="I190" s="117">
        <v>4958.8</v>
      </c>
      <c r="J190" s="118">
        <v>5683.645</v>
      </c>
      <c r="K190" s="117">
        <v>5751.955</v>
      </c>
      <c r="L190" s="117">
        <v>5992.305</v>
      </c>
      <c r="M190" s="117">
        <v>6233.92</v>
      </c>
      <c r="N190" s="118">
        <v>6784.195</v>
      </c>
      <c r="O190" s="117">
        <v>7509.04</v>
      </c>
      <c r="P190" s="117">
        <v>8381.89</v>
      </c>
    </row>
    <row r="191" ht="21" customHeight="1" spans="1:17">
      <c r="A191" s="115" t="s">
        <v>44</v>
      </c>
      <c r="B191" s="117">
        <v>3983.485</v>
      </c>
      <c r="C191" s="117">
        <v>4249.135</v>
      </c>
      <c r="D191" s="118">
        <v>4529.965</v>
      </c>
      <c r="E191" s="117">
        <v>4825.975</v>
      </c>
      <c r="F191" s="117">
        <v>5137.165</v>
      </c>
      <c r="G191" s="118">
        <v>5463.535</v>
      </c>
      <c r="H191" s="117">
        <v>6028.99</v>
      </c>
      <c r="I191" s="117">
        <v>6785.46</v>
      </c>
      <c r="J191" s="118">
        <v>7960.645</v>
      </c>
      <c r="K191" s="117">
        <v>8409.72</v>
      </c>
      <c r="L191" s="117">
        <v>8875.24</v>
      </c>
      <c r="M191" s="117">
        <v>9358.47</v>
      </c>
      <c r="N191" s="118">
        <v>10436.25</v>
      </c>
      <c r="O191" s="117">
        <v>11224.345</v>
      </c>
      <c r="P191" s="117">
        <v>12383.085</v>
      </c>
    </row>
    <row r="192" ht="21" customHeight="1" spans="1:17">
      <c r="A192" s="115" t="s">
        <v>45</v>
      </c>
      <c r="B192" s="117">
        <v>4314.915</v>
      </c>
      <c r="C192" s="117">
        <v>4580.565</v>
      </c>
      <c r="D192" s="118">
        <v>4863.925</v>
      </c>
      <c r="E192" s="117">
        <v>5159.935</v>
      </c>
      <c r="F192" s="117">
        <v>5471.125</v>
      </c>
      <c r="G192" s="118">
        <v>5797.495</v>
      </c>
      <c r="H192" s="117">
        <v>6375.6</v>
      </c>
      <c r="I192" s="117">
        <v>7133.335</v>
      </c>
      <c r="J192" s="118">
        <v>8318.64</v>
      </c>
      <c r="K192" s="117">
        <v>8768.98</v>
      </c>
      <c r="L192" s="117">
        <v>9233.235</v>
      </c>
      <c r="M192" s="117">
        <v>9717.73</v>
      </c>
      <c r="N192" s="118">
        <v>11187.66</v>
      </c>
      <c r="O192" s="117">
        <v>12890.35</v>
      </c>
      <c r="P192" s="117">
        <v>14674</v>
      </c>
    </row>
    <row r="193" ht="21" customHeight="1" spans="1:16">
      <c r="A193" s="115" t="s">
        <v>46</v>
      </c>
      <c r="B193" s="117">
        <v>5734.245</v>
      </c>
      <c r="C193" s="117">
        <v>6097.3</v>
      </c>
      <c r="D193" s="118">
        <v>6481.86</v>
      </c>
      <c r="E193" s="117">
        <v>6886.66</v>
      </c>
      <c r="F193" s="117">
        <v>7315.495</v>
      </c>
      <c r="G193" s="118">
        <v>7764.57</v>
      </c>
      <c r="H193" s="117">
        <v>8552.665</v>
      </c>
      <c r="I193" s="117">
        <v>9597.555</v>
      </c>
      <c r="J193" s="118">
        <v>11130.735</v>
      </c>
      <c r="K193" s="117">
        <v>11755.645</v>
      </c>
      <c r="L193" s="117">
        <v>12404.59</v>
      </c>
      <c r="M193" s="117">
        <v>13073.775</v>
      </c>
      <c r="N193" s="118">
        <v>15004.165</v>
      </c>
      <c r="O193" s="117">
        <v>17379.835</v>
      </c>
      <c r="P193" s="117">
        <v>19744.12</v>
      </c>
    </row>
    <row r="194" ht="21" customHeight="1" spans="1:16">
      <c r="A194" s="115" t="s">
        <v>39</v>
      </c>
      <c r="B194" s="117">
        <v>3051.18</v>
      </c>
      <c r="C194" s="117">
        <v>3099.25</v>
      </c>
      <c r="D194" s="118">
        <v>3180.21</v>
      </c>
      <c r="E194" s="117">
        <v>3233.34</v>
      </c>
      <c r="F194" s="117">
        <v>3415.5</v>
      </c>
      <c r="G194" s="118">
        <v>3509.11</v>
      </c>
      <c r="H194" s="117">
        <v>3817.77</v>
      </c>
      <c r="I194" s="117">
        <v>3984.75</v>
      </c>
      <c r="J194" s="118">
        <v>4387.02</v>
      </c>
      <c r="K194" s="117">
        <v>4643.815</v>
      </c>
      <c r="L194" s="117">
        <v>5023.315</v>
      </c>
      <c r="M194" s="117">
        <v>5216.86</v>
      </c>
      <c r="N194" s="118">
        <v>5692.5</v>
      </c>
      <c r="O194" s="117">
        <v>6066.94</v>
      </c>
      <c r="P194" s="117">
        <v>6309.82</v>
      </c>
    </row>
    <row r="195" ht="21" customHeight="1" spans="1:16">
      <c r="A195" s="115" t="s">
        <v>40</v>
      </c>
      <c r="B195" s="117">
        <v>2977.81</v>
      </c>
      <c r="C195" s="117">
        <v>3129.61</v>
      </c>
      <c r="D195" s="118">
        <v>3218.16</v>
      </c>
      <c r="E195" s="117">
        <v>3419.295</v>
      </c>
      <c r="F195" s="117">
        <v>3525.555</v>
      </c>
      <c r="G195" s="118">
        <v>3650.79</v>
      </c>
      <c r="H195" s="117">
        <v>4075.83</v>
      </c>
      <c r="I195" s="117">
        <v>4298.47</v>
      </c>
      <c r="J195" s="118">
        <v>4757.665</v>
      </c>
      <c r="K195" s="117">
        <v>4944.885</v>
      </c>
      <c r="L195" s="117">
        <v>5161.2</v>
      </c>
      <c r="M195" s="117">
        <v>5385.105</v>
      </c>
      <c r="N195" s="118">
        <v>6072</v>
      </c>
      <c r="O195" s="117">
        <v>6784.195</v>
      </c>
      <c r="P195" s="117">
        <v>7711.44</v>
      </c>
    </row>
    <row r="196" ht="21" customHeight="1" spans="1:16">
      <c r="A196" s="115" t="s">
        <v>41</v>
      </c>
      <c r="B196" s="117">
        <v>4336.42</v>
      </c>
      <c r="C196" s="117">
        <v>4526.17</v>
      </c>
      <c r="D196" s="118">
        <v>4633.695</v>
      </c>
      <c r="E196" s="117">
        <v>4880.37</v>
      </c>
      <c r="F196" s="117">
        <v>5009.4</v>
      </c>
      <c r="G196" s="118">
        <v>5163.73</v>
      </c>
      <c r="H196" s="117">
        <v>5740.57</v>
      </c>
      <c r="I196" s="117">
        <v>6006.22</v>
      </c>
      <c r="J196" s="118">
        <v>6476.8</v>
      </c>
      <c r="K196" s="117">
        <v>6712.09</v>
      </c>
      <c r="L196" s="117">
        <v>6982.8</v>
      </c>
      <c r="M196" s="117">
        <v>7250.98</v>
      </c>
      <c r="N196" s="118">
        <v>7873.36</v>
      </c>
      <c r="O196" s="117">
        <v>8527.365</v>
      </c>
      <c r="P196" s="117">
        <v>9457.14</v>
      </c>
    </row>
    <row r="197" ht="21" customHeight="1" spans="1:16">
      <c r="A197" s="115" t="s">
        <v>42</v>
      </c>
      <c r="B197" s="117">
        <v>1243.495</v>
      </c>
      <c r="C197" s="117">
        <v>1259.94</v>
      </c>
      <c r="D197" s="118">
        <v>1270.06</v>
      </c>
      <c r="E197" s="117">
        <v>1282.71</v>
      </c>
      <c r="F197" s="117">
        <v>1300.42</v>
      </c>
      <c r="G197" s="118">
        <v>1313.07</v>
      </c>
      <c r="H197" s="117">
        <v>1376.32</v>
      </c>
      <c r="I197" s="117">
        <v>1406.68</v>
      </c>
      <c r="J197" s="118">
        <v>1555.95</v>
      </c>
      <c r="K197" s="117">
        <v>1566.07</v>
      </c>
      <c r="L197" s="117">
        <v>1586.31</v>
      </c>
      <c r="M197" s="117">
        <v>1596.43</v>
      </c>
      <c r="N197" s="118">
        <v>1764.675</v>
      </c>
      <c r="O197" s="117">
        <v>1808.95</v>
      </c>
      <c r="P197" s="117">
        <v>1980.99</v>
      </c>
    </row>
    <row r="198" ht="20.25" customHeight="1" spans="1:16">
      <c r="A198" s="122"/>
      <c r="B198" s="15"/>
      <c r="C198" s="15"/>
      <c r="D198" s="15"/>
      <c r="E198" s="15"/>
      <c r="F198" s="15"/>
      <c r="G198" s="15"/>
      <c r="H198" s="15"/>
      <c r="I198" s="15"/>
      <c r="J198" s="51"/>
      <c r="K198" s="15"/>
      <c r="L198" s="15"/>
      <c r="M198" s="15"/>
      <c r="N198" s="51"/>
      <c r="O198" s="15"/>
      <c r="P198" s="15"/>
    </row>
    <row r="199" ht="20.25" customHeight="1" spans="1:16">
      <c r="A199" s="122"/>
      <c r="B199" s="15"/>
      <c r="C199" s="15"/>
      <c r="D199" s="15"/>
      <c r="E199" s="15"/>
      <c r="F199" s="15"/>
      <c r="G199" s="15"/>
      <c r="H199" s="15"/>
      <c r="I199" s="15"/>
      <c r="J199" s="51"/>
      <c r="K199" s="15"/>
      <c r="L199" s="15"/>
      <c r="M199" s="15"/>
      <c r="N199" s="51"/>
      <c r="O199" s="15"/>
      <c r="P199" s="15"/>
    </row>
    <row r="200" ht="20.25" customHeight="1" spans="1:16">
      <c r="A200" s="122"/>
      <c r="B200" s="15"/>
      <c r="C200" s="15"/>
      <c r="D200" s="15"/>
      <c r="E200" s="15"/>
      <c r="F200" s="15"/>
      <c r="G200" s="15"/>
      <c r="H200" s="15"/>
      <c r="I200" s="15"/>
      <c r="J200" s="51"/>
      <c r="K200" s="15"/>
      <c r="L200" s="15"/>
      <c r="M200" s="15"/>
      <c r="N200" s="51"/>
      <c r="O200" s="15"/>
      <c r="P200" s="15"/>
    </row>
    <row r="201" ht="20.25" customHeight="1" spans="1:16">
      <c r="A201" s="122"/>
      <c r="B201" s="15"/>
      <c r="C201" s="15"/>
      <c r="D201" s="15"/>
      <c r="E201" s="15"/>
      <c r="F201" s="15"/>
      <c r="G201" s="15"/>
      <c r="H201" s="15"/>
      <c r="I201" s="15"/>
      <c r="J201" s="51"/>
      <c r="K201" s="15"/>
      <c r="L201" s="15"/>
      <c r="M201" s="15"/>
      <c r="N201" s="51"/>
      <c r="O201" s="15"/>
      <c r="P201" s="15"/>
    </row>
    <row r="202" ht="20.25" customHeight="1" spans="1:16">
      <c r="A202" s="122"/>
      <c r="B202" s="15"/>
      <c r="C202" s="15"/>
      <c r="D202" s="15"/>
      <c r="E202" s="15"/>
      <c r="F202" s="15"/>
      <c r="G202" s="15"/>
      <c r="H202" s="15"/>
      <c r="I202" s="15"/>
      <c r="J202" s="51"/>
      <c r="K202" s="15"/>
      <c r="L202" s="15"/>
      <c r="M202" s="15"/>
      <c r="N202" s="51"/>
      <c r="O202" s="15"/>
      <c r="P202" s="15"/>
    </row>
    <row r="203" ht="20.25" customHeight="1" spans="1:16">
      <c r="A203" s="122"/>
      <c r="B203" s="15"/>
      <c r="C203" s="15"/>
      <c r="D203" s="15"/>
      <c r="E203" s="15"/>
      <c r="F203" s="15"/>
      <c r="G203" s="15"/>
      <c r="H203" s="15"/>
      <c r="I203" s="15"/>
      <c r="J203" s="51"/>
      <c r="K203" s="15"/>
      <c r="L203" s="15"/>
      <c r="M203" s="15"/>
      <c r="N203" s="51"/>
      <c r="O203" s="15"/>
      <c r="P203" s="15"/>
    </row>
    <row r="204" ht="20.25" customHeight="1" spans="1:16">
      <c r="A204" s="122"/>
      <c r="B204" s="15"/>
      <c r="C204" s="15"/>
      <c r="D204" s="15"/>
      <c r="E204" s="15"/>
      <c r="F204" s="15"/>
      <c r="G204" s="15"/>
      <c r="H204" s="15"/>
      <c r="I204" s="15"/>
      <c r="J204" s="51"/>
      <c r="K204" s="15"/>
      <c r="L204" s="15"/>
      <c r="M204" s="15"/>
      <c r="N204" s="51"/>
      <c r="O204" s="15"/>
      <c r="P204" s="15"/>
    </row>
    <row r="205" ht="20.25" customHeight="1" spans="1:16">
      <c r="A205" s="122"/>
      <c r="B205" s="15"/>
      <c r="C205" s="15"/>
      <c r="D205" s="15"/>
      <c r="E205" s="15"/>
      <c r="F205" s="15"/>
      <c r="G205" s="15"/>
      <c r="H205" s="15"/>
      <c r="I205" s="15"/>
      <c r="J205" s="51"/>
      <c r="K205" s="15"/>
      <c r="L205" s="15"/>
      <c r="M205" s="15"/>
      <c r="N205" s="51"/>
      <c r="O205" s="15"/>
      <c r="P205" s="15"/>
    </row>
    <row r="206" ht="20.25" customHeight="1" spans="1:16">
      <c r="A206" s="122"/>
      <c r="B206" s="15"/>
      <c r="C206" s="15"/>
      <c r="D206" s="15"/>
      <c r="E206" s="15"/>
      <c r="F206" s="15"/>
      <c r="G206" s="15"/>
      <c r="H206" s="15"/>
      <c r="I206" s="15"/>
      <c r="J206" s="51"/>
      <c r="K206" s="15"/>
      <c r="L206" s="15"/>
      <c r="M206" s="15"/>
      <c r="N206" s="51"/>
      <c r="O206" s="15"/>
      <c r="P206" s="15"/>
    </row>
    <row r="207" ht="20.25" customHeight="1" spans="1:16">
      <c r="A207" s="122"/>
      <c r="B207" s="15"/>
      <c r="C207" s="15"/>
      <c r="D207" s="15"/>
      <c r="E207" s="15"/>
      <c r="F207" s="15"/>
      <c r="G207" s="15"/>
      <c r="H207" s="15"/>
      <c r="I207" s="15"/>
      <c r="J207" s="51"/>
      <c r="K207" s="15"/>
      <c r="L207" s="15"/>
      <c r="M207" s="15"/>
      <c r="N207" s="51"/>
      <c r="O207" s="15"/>
      <c r="P207" s="15"/>
    </row>
    <row r="208" ht="20.25" customHeight="1" spans="1:16">
      <c r="A208" s="122"/>
      <c r="B208" s="15"/>
      <c r="C208" s="15"/>
      <c r="D208" s="15"/>
      <c r="E208" s="15"/>
      <c r="F208" s="15"/>
      <c r="G208" s="15"/>
      <c r="H208" s="15"/>
      <c r="I208" s="15"/>
      <c r="J208" s="51"/>
      <c r="K208" s="15"/>
      <c r="L208" s="15"/>
      <c r="M208" s="15"/>
      <c r="N208" s="51"/>
      <c r="O208" s="15"/>
      <c r="P208" s="15"/>
    </row>
    <row r="209" ht="20.25" customHeight="1" spans="1:16">
      <c r="A209" s="122"/>
      <c r="B209" s="15"/>
      <c r="C209" s="15"/>
      <c r="D209" s="15"/>
      <c r="E209" s="15"/>
      <c r="F209" s="15"/>
      <c r="G209" s="15"/>
      <c r="H209" s="15"/>
      <c r="I209" s="15"/>
      <c r="J209" s="51"/>
      <c r="K209" s="15"/>
      <c r="L209" s="15"/>
      <c r="M209" s="15"/>
      <c r="N209" s="51"/>
      <c r="O209" s="15"/>
      <c r="P209" s="15"/>
    </row>
    <row r="210" ht="20.25" customHeight="1" spans="1:16">
      <c r="A210" s="122"/>
      <c r="B210" s="15"/>
      <c r="C210" s="15"/>
      <c r="D210" s="15"/>
      <c r="E210" s="15"/>
      <c r="F210" s="15"/>
      <c r="G210" s="15"/>
      <c r="H210" s="15"/>
      <c r="I210" s="15"/>
      <c r="J210" s="51"/>
      <c r="K210" s="15"/>
      <c r="L210" s="15"/>
      <c r="M210" s="15"/>
      <c r="N210" s="51"/>
      <c r="O210" s="15"/>
      <c r="P210" s="15"/>
    </row>
    <row r="211" ht="20.25" customHeight="1" spans="1:16">
      <c r="A211" s="122"/>
      <c r="B211" s="15"/>
      <c r="C211" s="15"/>
      <c r="D211" s="15"/>
      <c r="E211" s="15"/>
      <c r="F211" s="15"/>
      <c r="G211" s="15"/>
      <c r="H211" s="15"/>
      <c r="I211" s="15"/>
      <c r="J211" s="51"/>
      <c r="K211" s="15"/>
      <c r="L211" s="15"/>
      <c r="M211" s="15"/>
      <c r="N211" s="51"/>
      <c r="O211" s="15"/>
      <c r="P211" s="15"/>
    </row>
    <row r="212" ht="20.25" customHeight="1" spans="1:16">
      <c r="A212" s="122"/>
      <c r="B212" s="15"/>
      <c r="C212" s="15"/>
      <c r="D212" s="15"/>
      <c r="E212" s="15"/>
      <c r="F212" s="15"/>
      <c r="G212" s="15"/>
      <c r="H212" s="15"/>
      <c r="I212" s="15"/>
      <c r="J212" s="51"/>
      <c r="K212" s="15"/>
      <c r="L212" s="15"/>
      <c r="M212" s="15"/>
      <c r="N212" s="51"/>
      <c r="O212" s="15"/>
      <c r="P212" s="15"/>
    </row>
    <row r="213" ht="20.25" customHeight="1" spans="1:16">
      <c r="A213" s="122"/>
      <c r="B213" s="15"/>
      <c r="C213" s="15"/>
      <c r="D213" s="15"/>
      <c r="E213" s="15"/>
      <c r="F213" s="15"/>
      <c r="G213" s="15"/>
      <c r="H213" s="15"/>
      <c r="I213" s="15"/>
      <c r="J213" s="51"/>
      <c r="K213" s="15"/>
      <c r="L213" s="15"/>
      <c r="M213" s="15"/>
      <c r="N213" s="51"/>
      <c r="O213" s="15"/>
      <c r="P213" s="15"/>
    </row>
    <row r="214" ht="20.25" customHeight="1" spans="1:16">
      <c r="A214" s="122"/>
      <c r="B214" s="15"/>
      <c r="C214" s="15"/>
      <c r="D214" s="15"/>
      <c r="E214" s="15"/>
      <c r="F214" s="15"/>
      <c r="G214" s="15"/>
      <c r="H214" s="15"/>
      <c r="I214" s="15"/>
      <c r="J214" s="51"/>
      <c r="K214" s="15"/>
      <c r="L214" s="15"/>
      <c r="M214" s="15"/>
      <c r="N214" s="51"/>
      <c r="O214" s="15"/>
      <c r="P214" s="15"/>
    </row>
    <row r="215" ht="20.25" customHeight="1" spans="1:16">
      <c r="A215" s="122"/>
      <c r="B215" s="15"/>
      <c r="C215" s="15"/>
      <c r="D215" s="15"/>
      <c r="E215" s="15"/>
      <c r="F215" s="15"/>
      <c r="G215" s="15"/>
      <c r="H215" s="15"/>
      <c r="I215" s="15"/>
      <c r="J215" s="51"/>
      <c r="K215" s="15"/>
      <c r="L215" s="15"/>
      <c r="M215" s="15"/>
      <c r="N215" s="51"/>
      <c r="O215" s="15"/>
      <c r="P215" s="15"/>
    </row>
    <row r="216" ht="20.25" customHeight="1" spans="1:16">
      <c r="A216" s="122"/>
      <c r="B216" s="15"/>
      <c r="C216" s="15"/>
      <c r="D216" s="15"/>
      <c r="E216" s="15"/>
      <c r="F216" s="15"/>
      <c r="G216" s="15"/>
      <c r="H216" s="15"/>
      <c r="I216" s="15"/>
      <c r="J216" s="51"/>
      <c r="K216" s="15"/>
      <c r="L216" s="15"/>
      <c r="M216" s="15"/>
      <c r="N216" s="51"/>
      <c r="O216" s="15"/>
      <c r="P216" s="15"/>
    </row>
    <row r="217" ht="20.25" customHeight="1" spans="1:16">
      <c r="A217" s="122"/>
      <c r="B217" s="15"/>
      <c r="C217" s="15"/>
      <c r="D217" s="15"/>
      <c r="E217" s="15"/>
      <c r="F217" s="15"/>
      <c r="G217" s="15"/>
      <c r="H217" s="15"/>
      <c r="I217" s="15"/>
      <c r="J217" s="51"/>
      <c r="K217" s="15"/>
      <c r="L217" s="15"/>
      <c r="M217" s="15"/>
      <c r="N217" s="51"/>
      <c r="O217" s="15"/>
      <c r="P217" s="15"/>
    </row>
    <row r="218" ht="20.25" customHeight="1" spans="1:16">
      <c r="A218" s="122"/>
      <c r="B218" s="15"/>
      <c r="C218" s="15"/>
      <c r="D218" s="15"/>
      <c r="E218" s="15"/>
      <c r="F218" s="15"/>
      <c r="G218" s="15"/>
      <c r="H218" s="15"/>
      <c r="I218" s="15"/>
      <c r="J218" s="51"/>
      <c r="K218" s="15"/>
      <c r="L218" s="15"/>
      <c r="M218" s="15"/>
      <c r="N218" s="51"/>
      <c r="O218" s="15"/>
      <c r="P218" s="15"/>
    </row>
    <row r="219" ht="20.25" customHeight="1" spans="1:16">
      <c r="A219" s="122"/>
      <c r="B219" s="15"/>
      <c r="C219" s="15"/>
      <c r="D219" s="15"/>
      <c r="E219" s="15"/>
      <c r="F219" s="15"/>
      <c r="G219" s="15"/>
      <c r="H219" s="15"/>
      <c r="I219" s="15"/>
      <c r="J219" s="51"/>
      <c r="K219" s="15"/>
      <c r="L219" s="15"/>
      <c r="M219" s="15"/>
      <c r="N219" s="51"/>
      <c r="O219" s="15"/>
      <c r="P219" s="15"/>
    </row>
    <row r="220" ht="20.25" customHeight="1" spans="1:16">
      <c r="A220" s="122"/>
      <c r="B220" s="15"/>
      <c r="C220" s="15"/>
      <c r="D220" s="15"/>
      <c r="E220" s="15"/>
      <c r="F220" s="15"/>
      <c r="G220" s="15"/>
      <c r="H220" s="15"/>
      <c r="I220" s="15"/>
      <c r="J220" s="51"/>
      <c r="K220" s="15"/>
      <c r="L220" s="15"/>
      <c r="M220" s="15"/>
      <c r="N220" s="51"/>
      <c r="O220" s="15"/>
      <c r="P220" s="15"/>
    </row>
    <row r="221" ht="20.25" customHeight="1" spans="1:16">
      <c r="A221" s="122"/>
      <c r="B221" s="15"/>
      <c r="C221" s="15"/>
      <c r="D221" s="15"/>
      <c r="E221" s="15"/>
      <c r="F221" s="15"/>
      <c r="G221" s="15"/>
      <c r="H221" s="15"/>
      <c r="I221" s="15"/>
      <c r="J221" s="51"/>
      <c r="K221" s="15"/>
      <c r="L221" s="15"/>
      <c r="M221" s="15"/>
      <c r="N221" s="51"/>
      <c r="O221" s="15"/>
      <c r="P221" s="15"/>
    </row>
    <row r="222" ht="20.25" customHeight="1" spans="1:16">
      <c r="A222" s="122"/>
      <c r="B222" s="15"/>
      <c r="C222" s="15"/>
      <c r="D222" s="15"/>
      <c r="E222" s="15"/>
      <c r="F222" s="15"/>
      <c r="G222" s="15"/>
      <c r="H222" s="15"/>
      <c r="I222" s="15"/>
      <c r="J222" s="51"/>
      <c r="K222" s="15"/>
      <c r="L222" s="15"/>
      <c r="M222" s="15"/>
      <c r="N222" s="51"/>
      <c r="O222" s="15"/>
      <c r="P222" s="15"/>
    </row>
    <row r="223" ht="20.25" customHeight="1" spans="1:16">
      <c r="A223" s="122"/>
      <c r="B223" s="15"/>
      <c r="C223" s="15"/>
      <c r="D223" s="15"/>
      <c r="E223" s="15"/>
      <c r="F223" s="15"/>
      <c r="G223" s="15"/>
      <c r="H223" s="15"/>
      <c r="I223" s="15"/>
      <c r="J223" s="51"/>
      <c r="K223" s="15"/>
      <c r="L223" s="15"/>
      <c r="M223" s="15"/>
      <c r="N223" s="51"/>
      <c r="O223" s="15"/>
      <c r="P223" s="15"/>
    </row>
    <row r="224" ht="20.25" customHeight="1" spans="1:16">
      <c r="A224" s="122"/>
      <c r="B224" s="15"/>
      <c r="C224" s="15"/>
      <c r="D224" s="15"/>
      <c r="E224" s="15"/>
      <c r="F224" s="15"/>
      <c r="G224" s="15"/>
      <c r="H224" s="15"/>
      <c r="I224" s="15"/>
      <c r="J224" s="51"/>
      <c r="K224" s="15"/>
      <c r="L224" s="15"/>
      <c r="M224" s="15"/>
      <c r="N224" s="51"/>
      <c r="O224" s="15"/>
      <c r="P224" s="15"/>
    </row>
    <row r="225" ht="20.25" customHeight="1" spans="1:16">
      <c r="A225" s="122"/>
      <c r="B225" s="15"/>
      <c r="C225" s="15"/>
      <c r="D225" s="15"/>
      <c r="E225" s="15"/>
      <c r="F225" s="15"/>
      <c r="G225" s="15"/>
      <c r="H225" s="15"/>
      <c r="I225" s="15"/>
      <c r="J225" s="51"/>
      <c r="K225" s="15"/>
      <c r="L225" s="15"/>
      <c r="M225" s="15"/>
      <c r="N225" s="51"/>
      <c r="O225" s="15"/>
      <c r="P225" s="15"/>
    </row>
    <row r="226" ht="20.25" customHeight="1" spans="1:16">
      <c r="A226" s="122"/>
      <c r="B226" s="15"/>
      <c r="C226" s="15"/>
      <c r="D226" s="15"/>
      <c r="E226" s="15"/>
      <c r="F226" s="15"/>
      <c r="G226" s="15"/>
      <c r="H226" s="15"/>
      <c r="I226" s="15"/>
      <c r="J226" s="51"/>
      <c r="K226" s="15"/>
      <c r="L226" s="15"/>
      <c r="M226" s="15"/>
      <c r="N226" s="51"/>
      <c r="O226" s="15"/>
      <c r="P226" s="15"/>
    </row>
    <row r="227" ht="20.25" customHeight="1" spans="1:16">
      <c r="A227" s="122"/>
      <c r="B227" s="15"/>
      <c r="C227" s="15"/>
      <c r="D227" s="15"/>
      <c r="E227" s="15"/>
      <c r="F227" s="15"/>
      <c r="G227" s="15"/>
      <c r="H227" s="15"/>
      <c r="I227" s="15"/>
      <c r="J227" s="51"/>
      <c r="K227" s="15"/>
      <c r="L227" s="15"/>
      <c r="M227" s="15"/>
      <c r="N227" s="51"/>
      <c r="O227" s="15"/>
      <c r="P227" s="15"/>
    </row>
    <row r="228" ht="20.25" customHeight="1" spans="1:16">
      <c r="A228" s="122"/>
      <c r="B228" s="15"/>
      <c r="C228" s="15"/>
      <c r="D228" s="15"/>
      <c r="E228" s="15"/>
      <c r="F228" s="15"/>
      <c r="G228" s="15"/>
      <c r="H228" s="15"/>
      <c r="I228" s="15"/>
      <c r="J228" s="51"/>
      <c r="K228" s="15"/>
      <c r="L228" s="15"/>
      <c r="M228" s="15"/>
      <c r="N228" s="51"/>
      <c r="O228" s="15"/>
      <c r="P228" s="15"/>
    </row>
    <row r="229" ht="20.25" customHeight="1" spans="1:16">
      <c r="A229" s="122"/>
      <c r="B229" s="15"/>
      <c r="C229" s="15"/>
      <c r="D229" s="15"/>
      <c r="E229" s="15"/>
      <c r="F229" s="15"/>
      <c r="G229" s="15"/>
      <c r="H229" s="15"/>
      <c r="I229" s="15"/>
      <c r="J229" s="51"/>
      <c r="K229" s="15"/>
      <c r="L229" s="15"/>
      <c r="M229" s="15"/>
      <c r="N229" s="51"/>
      <c r="O229" s="15"/>
      <c r="P229" s="15"/>
    </row>
    <row r="230" ht="20.25" customHeight="1" spans="1:16">
      <c r="A230" s="122"/>
      <c r="B230" s="15"/>
      <c r="C230" s="15"/>
      <c r="D230" s="15"/>
      <c r="E230" s="15"/>
      <c r="F230" s="15"/>
      <c r="G230" s="15"/>
      <c r="H230" s="15"/>
      <c r="I230" s="15"/>
      <c r="J230" s="51"/>
      <c r="K230" s="15"/>
      <c r="L230" s="15"/>
      <c r="M230" s="15"/>
      <c r="N230" s="51"/>
      <c r="O230" s="15"/>
      <c r="P230" s="15"/>
    </row>
    <row r="231" ht="20.25" customHeight="1" spans="1:16">
      <c r="A231" s="122"/>
      <c r="B231" s="15"/>
      <c r="C231" s="15"/>
      <c r="D231" s="15"/>
      <c r="E231" s="15"/>
      <c r="F231" s="15"/>
      <c r="G231" s="15"/>
      <c r="H231" s="15"/>
      <c r="I231" s="15"/>
      <c r="J231" s="51"/>
      <c r="K231" s="15"/>
      <c r="L231" s="15"/>
      <c r="M231" s="15"/>
      <c r="N231" s="51"/>
      <c r="O231" s="15"/>
      <c r="P231" s="15"/>
    </row>
    <row r="232" ht="20.25" customHeight="1" spans="1:16">
      <c r="A232" s="122"/>
      <c r="B232" s="15"/>
      <c r="C232" s="15"/>
      <c r="D232" s="15"/>
      <c r="E232" s="15"/>
      <c r="F232" s="15"/>
      <c r="G232" s="15"/>
      <c r="H232" s="15"/>
      <c r="I232" s="15"/>
      <c r="J232" s="51"/>
      <c r="K232" s="15"/>
      <c r="L232" s="15"/>
      <c r="M232" s="15"/>
      <c r="N232" s="51"/>
      <c r="O232" s="15"/>
      <c r="P232" s="15"/>
    </row>
    <row r="233" ht="20.25" customHeight="1" spans="1:16">
      <c r="A233" s="122"/>
      <c r="B233" s="15"/>
      <c r="C233" s="15"/>
      <c r="D233" s="15"/>
      <c r="E233" s="15"/>
      <c r="F233" s="15"/>
      <c r="G233" s="15"/>
      <c r="H233" s="15"/>
      <c r="I233" s="15"/>
      <c r="J233" s="51"/>
      <c r="K233" s="15"/>
      <c r="L233" s="15"/>
      <c r="M233" s="15"/>
      <c r="N233" s="51"/>
      <c r="O233" s="15"/>
      <c r="P233" s="15"/>
    </row>
    <row r="234" ht="20.25" customHeight="1" spans="1:16">
      <c r="A234" s="122"/>
      <c r="B234" s="15"/>
      <c r="C234" s="15"/>
      <c r="D234" s="15"/>
      <c r="E234" s="15"/>
      <c r="F234" s="15"/>
      <c r="G234" s="15"/>
      <c r="H234" s="15"/>
      <c r="I234" s="15"/>
      <c r="J234" s="51"/>
      <c r="K234" s="15"/>
      <c r="L234" s="15"/>
      <c r="M234" s="15"/>
      <c r="N234" s="51"/>
      <c r="O234" s="15"/>
      <c r="P234" s="15"/>
    </row>
    <row r="235" ht="20.25" customHeight="1" spans="1:16">
      <c r="A235" s="122"/>
      <c r="B235" s="15"/>
      <c r="C235" s="15"/>
      <c r="D235" s="15"/>
      <c r="E235" s="15"/>
      <c r="F235" s="15"/>
      <c r="G235" s="15"/>
      <c r="H235" s="15"/>
      <c r="I235" s="15"/>
      <c r="J235" s="51"/>
      <c r="K235" s="15"/>
      <c r="L235" s="15"/>
      <c r="M235" s="15"/>
      <c r="N235" s="51"/>
      <c r="O235" s="15"/>
      <c r="P235" s="15"/>
    </row>
    <row r="236" ht="20.25" customHeight="1" spans="1:16">
      <c r="A236" s="122"/>
      <c r="B236" s="15"/>
      <c r="C236" s="15"/>
      <c r="D236" s="15"/>
      <c r="E236" s="15"/>
      <c r="F236" s="15"/>
      <c r="G236" s="15"/>
      <c r="H236" s="15"/>
      <c r="I236" s="15"/>
      <c r="J236" s="51"/>
      <c r="K236" s="15"/>
      <c r="L236" s="15"/>
      <c r="M236" s="15"/>
      <c r="N236" s="51"/>
      <c r="O236" s="15"/>
      <c r="P236" s="15"/>
    </row>
    <row r="237" ht="20.25" customHeight="1" spans="1:16">
      <c r="A237" s="122"/>
      <c r="B237" s="15"/>
      <c r="C237" s="15"/>
      <c r="D237" s="15"/>
      <c r="E237" s="15"/>
      <c r="F237" s="15"/>
      <c r="G237" s="15"/>
      <c r="H237" s="15"/>
      <c r="I237" s="15"/>
      <c r="J237" s="51"/>
      <c r="K237" s="15"/>
      <c r="L237" s="15"/>
      <c r="M237" s="15"/>
      <c r="N237" s="51"/>
      <c r="O237" s="15"/>
      <c r="P237" s="15"/>
    </row>
    <row r="238" ht="20.25" customHeight="1" spans="1:16">
      <c r="A238" s="122"/>
      <c r="B238" s="15"/>
      <c r="C238" s="15"/>
      <c r="D238" s="15"/>
      <c r="E238" s="15"/>
      <c r="F238" s="15"/>
      <c r="G238" s="15"/>
      <c r="H238" s="15"/>
      <c r="I238" s="15"/>
      <c r="J238" s="51"/>
      <c r="K238" s="15"/>
      <c r="L238" s="15"/>
      <c r="M238" s="15"/>
      <c r="N238" s="51"/>
      <c r="O238" s="15"/>
      <c r="P238" s="15"/>
    </row>
    <row r="239" ht="20.25" customHeight="1" spans="1:16">
      <c r="A239" s="122"/>
      <c r="B239" s="15"/>
      <c r="C239" s="15"/>
      <c r="D239" s="15"/>
      <c r="E239" s="15"/>
      <c r="F239" s="15"/>
      <c r="G239" s="15"/>
      <c r="H239" s="15"/>
      <c r="I239" s="15"/>
      <c r="J239" s="51"/>
      <c r="K239" s="15"/>
      <c r="L239" s="15"/>
      <c r="M239" s="15"/>
      <c r="N239" s="51"/>
      <c r="O239" s="15"/>
      <c r="P239" s="15"/>
    </row>
    <row r="240" ht="20.25" customHeight="1" spans="1:16">
      <c r="A240" s="122"/>
      <c r="B240" s="15"/>
      <c r="C240" s="15"/>
      <c r="D240" s="15"/>
      <c r="E240" s="15"/>
      <c r="F240" s="15"/>
      <c r="G240" s="15"/>
      <c r="H240" s="15"/>
      <c r="I240" s="15"/>
      <c r="J240" s="51"/>
      <c r="K240" s="15"/>
      <c r="L240" s="15"/>
      <c r="M240" s="15"/>
      <c r="N240" s="51"/>
      <c r="O240" s="15"/>
      <c r="P240" s="15"/>
    </row>
    <row r="241" ht="20.25" customHeight="1" spans="1:16">
      <c r="A241" s="122"/>
      <c r="B241" s="15"/>
      <c r="C241" s="15"/>
      <c r="D241" s="15"/>
      <c r="E241" s="15"/>
      <c r="F241" s="15"/>
      <c r="G241" s="15"/>
      <c r="H241" s="15"/>
      <c r="I241" s="15"/>
      <c r="J241" s="51"/>
      <c r="K241" s="15"/>
      <c r="L241" s="15"/>
      <c r="M241" s="15"/>
      <c r="N241" s="51"/>
      <c r="O241" s="15"/>
      <c r="P241" s="15"/>
    </row>
    <row r="242" ht="20.25" customHeight="1" spans="1:16">
      <c r="A242" s="122"/>
      <c r="B242" s="15"/>
      <c r="C242" s="15"/>
      <c r="D242" s="15"/>
      <c r="E242" s="15"/>
      <c r="F242" s="15"/>
      <c r="G242" s="15"/>
      <c r="H242" s="15"/>
      <c r="I242" s="15"/>
      <c r="J242" s="51"/>
      <c r="K242" s="15"/>
      <c r="L242" s="15"/>
      <c r="M242" s="15"/>
      <c r="N242" s="51"/>
      <c r="O242" s="15"/>
      <c r="P242" s="15"/>
    </row>
    <row r="243" ht="20.25" customHeight="1" spans="1:16">
      <c r="A243" s="122"/>
      <c r="B243" s="15"/>
      <c r="C243" s="15"/>
      <c r="D243" s="15"/>
      <c r="E243" s="15"/>
      <c r="F243" s="15"/>
      <c r="G243" s="15"/>
      <c r="H243" s="15"/>
      <c r="I243" s="15"/>
      <c r="J243" s="51"/>
      <c r="K243" s="15"/>
      <c r="L243" s="15"/>
      <c r="M243" s="15"/>
      <c r="N243" s="51"/>
      <c r="O243" s="15"/>
      <c r="P243" s="15"/>
    </row>
    <row r="244" ht="20.25" customHeight="1" spans="1:16">
      <c r="A244" s="122"/>
      <c r="B244" s="15"/>
      <c r="C244" s="15"/>
      <c r="D244" s="15"/>
      <c r="E244" s="15"/>
      <c r="F244" s="15"/>
      <c r="G244" s="15"/>
      <c r="H244" s="15"/>
      <c r="I244" s="15"/>
      <c r="J244" s="51"/>
      <c r="K244" s="15"/>
      <c r="L244" s="15"/>
      <c r="M244" s="15"/>
      <c r="N244" s="51"/>
      <c r="O244" s="15"/>
      <c r="P244" s="15"/>
    </row>
    <row r="245" ht="20.25" customHeight="1" spans="1:16">
      <c r="A245" s="122"/>
      <c r="B245" s="15"/>
      <c r="C245" s="15"/>
      <c r="D245" s="15"/>
      <c r="E245" s="15"/>
      <c r="F245" s="15"/>
      <c r="G245" s="15"/>
      <c r="H245" s="15"/>
      <c r="I245" s="15"/>
      <c r="J245" s="51"/>
      <c r="K245" s="15"/>
      <c r="L245" s="15"/>
      <c r="M245" s="15"/>
      <c r="N245" s="51"/>
      <c r="O245" s="15"/>
      <c r="P245" s="15"/>
    </row>
    <row r="246" ht="20.25" customHeight="1" spans="1:16">
      <c r="A246" s="122"/>
      <c r="B246" s="15"/>
      <c r="C246" s="15"/>
      <c r="D246" s="15"/>
      <c r="E246" s="15"/>
      <c r="F246" s="15"/>
      <c r="G246" s="15"/>
      <c r="H246" s="15"/>
      <c r="I246" s="15"/>
      <c r="J246" s="51"/>
      <c r="K246" s="15"/>
      <c r="L246" s="15"/>
      <c r="M246" s="15"/>
      <c r="N246" s="51"/>
      <c r="O246" s="15"/>
      <c r="P246" s="15"/>
    </row>
    <row r="247" ht="20.25" customHeight="1" spans="1:16">
      <c r="A247" s="122"/>
      <c r="B247" s="15"/>
      <c r="C247" s="15"/>
      <c r="D247" s="15"/>
      <c r="E247" s="15"/>
      <c r="F247" s="15"/>
      <c r="G247" s="15"/>
      <c r="H247" s="15"/>
      <c r="I247" s="15"/>
      <c r="J247" s="51"/>
      <c r="K247" s="15"/>
      <c r="L247" s="15"/>
      <c r="M247" s="15"/>
      <c r="N247" s="51"/>
      <c r="O247" s="15"/>
      <c r="P247" s="15"/>
    </row>
    <row r="248" ht="20.25" customHeight="1" spans="1:16">
      <c r="A248" s="122"/>
      <c r="B248" s="15"/>
      <c r="C248" s="15"/>
      <c r="D248" s="15"/>
      <c r="E248" s="15"/>
      <c r="F248" s="15"/>
      <c r="G248" s="15"/>
      <c r="H248" s="15"/>
      <c r="I248" s="15"/>
      <c r="J248" s="51"/>
      <c r="K248" s="15"/>
      <c r="L248" s="15"/>
      <c r="M248" s="15"/>
      <c r="N248" s="51"/>
      <c r="O248" s="15"/>
      <c r="P248" s="15"/>
    </row>
    <row r="249" ht="20.25" customHeight="1" spans="1:16">
      <c r="A249" s="122"/>
      <c r="B249" s="15"/>
      <c r="C249" s="15"/>
      <c r="D249" s="15"/>
      <c r="E249" s="15"/>
      <c r="F249" s="15"/>
      <c r="G249" s="15"/>
      <c r="H249" s="15"/>
      <c r="I249" s="15"/>
      <c r="J249" s="51"/>
      <c r="K249" s="15"/>
      <c r="L249" s="15"/>
      <c r="M249" s="15"/>
      <c r="N249" s="51"/>
      <c r="O249" s="15"/>
      <c r="P249" s="15"/>
    </row>
    <row r="250" ht="20.25" customHeight="1" spans="1:16">
      <c r="A250" s="122"/>
      <c r="B250" s="15"/>
      <c r="C250" s="15"/>
      <c r="D250" s="15"/>
      <c r="E250" s="15"/>
      <c r="F250" s="15"/>
      <c r="G250" s="15"/>
      <c r="H250" s="15"/>
      <c r="I250" s="15"/>
      <c r="J250" s="51"/>
      <c r="K250" s="15"/>
      <c r="L250" s="15"/>
      <c r="M250" s="15"/>
      <c r="N250" s="51"/>
      <c r="O250" s="15"/>
      <c r="P250" s="15"/>
    </row>
    <row r="251" ht="20.25" customHeight="1" spans="1:16">
      <c r="A251" s="122"/>
      <c r="B251" s="15"/>
      <c r="C251" s="15"/>
      <c r="D251" s="15"/>
      <c r="E251" s="15"/>
      <c r="F251" s="15"/>
      <c r="G251" s="15"/>
      <c r="H251" s="15"/>
      <c r="I251" s="15"/>
      <c r="J251" s="51"/>
      <c r="K251" s="15"/>
      <c r="L251" s="15"/>
      <c r="M251" s="15"/>
      <c r="N251" s="51"/>
      <c r="O251" s="15"/>
      <c r="P251" s="15"/>
    </row>
    <row r="252" ht="20.25" customHeight="1" spans="1:16">
      <c r="A252" s="122"/>
      <c r="B252" s="15"/>
      <c r="C252" s="15"/>
      <c r="D252" s="15"/>
      <c r="E252" s="15"/>
      <c r="F252" s="15"/>
      <c r="G252" s="15"/>
      <c r="H252" s="15"/>
      <c r="I252" s="15"/>
      <c r="J252" s="51"/>
      <c r="K252" s="15"/>
      <c r="L252" s="15"/>
      <c r="M252" s="15"/>
      <c r="N252" s="51"/>
      <c r="O252" s="15"/>
      <c r="P252" s="15"/>
    </row>
    <row r="253" ht="20.25" customHeight="1" spans="1:16">
      <c r="A253" s="122"/>
      <c r="B253" s="15"/>
      <c r="C253" s="15"/>
      <c r="D253" s="15"/>
      <c r="E253" s="15"/>
      <c r="F253" s="15"/>
      <c r="G253" s="15"/>
      <c r="H253" s="15"/>
      <c r="I253" s="15"/>
      <c r="J253" s="51"/>
      <c r="K253" s="15"/>
      <c r="L253" s="15"/>
      <c r="M253" s="15"/>
      <c r="N253" s="51"/>
      <c r="O253" s="15"/>
      <c r="P253" s="15"/>
    </row>
    <row r="254" ht="20.25" customHeight="1" spans="1:16">
      <c r="A254" s="122"/>
      <c r="B254" s="15"/>
      <c r="C254" s="15"/>
      <c r="D254" s="15"/>
      <c r="E254" s="15"/>
      <c r="F254" s="15"/>
      <c r="G254" s="15"/>
      <c r="H254" s="15"/>
      <c r="I254" s="15"/>
      <c r="J254" s="51"/>
      <c r="K254" s="15"/>
      <c r="L254" s="15"/>
      <c r="M254" s="15"/>
      <c r="N254" s="51"/>
      <c r="O254" s="15"/>
      <c r="P254" s="15"/>
    </row>
    <row r="255" ht="20.25" customHeight="1" spans="1:16">
      <c r="A255" s="122"/>
      <c r="B255" s="15"/>
      <c r="C255" s="15"/>
      <c r="D255" s="15"/>
      <c r="E255" s="15"/>
      <c r="F255" s="15"/>
      <c r="G255" s="15"/>
      <c r="H255" s="15"/>
      <c r="I255" s="15"/>
      <c r="J255" s="51"/>
      <c r="K255" s="15"/>
      <c r="L255" s="15"/>
      <c r="M255" s="15"/>
      <c r="N255" s="51"/>
      <c r="O255" s="15"/>
      <c r="P255" s="15"/>
    </row>
    <row r="256" ht="20.25" customHeight="1" spans="1:16">
      <c r="A256" s="122"/>
      <c r="B256" s="15"/>
      <c r="C256" s="15"/>
      <c r="D256" s="15"/>
      <c r="E256" s="15"/>
      <c r="F256" s="15"/>
      <c r="G256" s="15"/>
      <c r="H256" s="15"/>
      <c r="I256" s="15"/>
      <c r="J256" s="51"/>
      <c r="K256" s="15"/>
      <c r="L256" s="15"/>
      <c r="M256" s="15"/>
      <c r="N256" s="51"/>
      <c r="O256" s="15"/>
      <c r="P256" s="15"/>
    </row>
    <row r="257" ht="20.25" customHeight="1" spans="1:16">
      <c r="A257" s="122"/>
      <c r="B257" s="15"/>
      <c r="C257" s="15"/>
      <c r="D257" s="15"/>
      <c r="E257" s="15"/>
      <c r="F257" s="15"/>
      <c r="G257" s="15"/>
      <c r="H257" s="15"/>
      <c r="I257" s="15"/>
      <c r="J257" s="51"/>
      <c r="K257" s="15"/>
      <c r="L257" s="15"/>
      <c r="M257" s="15"/>
      <c r="N257" s="51"/>
      <c r="O257" s="15"/>
      <c r="P257" s="15"/>
    </row>
    <row r="258" ht="20.25" customHeight="1" spans="1:16">
      <c r="A258" s="122"/>
      <c r="B258" s="15"/>
      <c r="C258" s="15"/>
      <c r="D258" s="15"/>
      <c r="E258" s="15"/>
      <c r="F258" s="15"/>
      <c r="G258" s="15"/>
      <c r="H258" s="15"/>
      <c r="I258" s="15"/>
      <c r="J258" s="51"/>
      <c r="K258" s="15"/>
      <c r="L258" s="15"/>
      <c r="M258" s="15"/>
      <c r="N258" s="51"/>
      <c r="O258" s="15"/>
      <c r="P258" s="15"/>
    </row>
    <row r="259" ht="20.25" customHeight="1" spans="1:16">
      <c r="A259" s="122"/>
      <c r="B259" s="15"/>
      <c r="C259" s="15"/>
      <c r="D259" s="15"/>
      <c r="E259" s="15"/>
      <c r="F259" s="15"/>
      <c r="G259" s="15"/>
      <c r="H259" s="15"/>
      <c r="I259" s="15"/>
      <c r="J259" s="51"/>
      <c r="K259" s="15"/>
      <c r="L259" s="15"/>
      <c r="M259" s="15"/>
      <c r="N259" s="51"/>
      <c r="O259" s="15"/>
      <c r="P259" s="15"/>
    </row>
    <row r="260" ht="20.25" customHeight="1" spans="1:16">
      <c r="A260" s="122"/>
      <c r="B260" s="15"/>
      <c r="C260" s="15"/>
      <c r="D260" s="15"/>
      <c r="E260" s="15"/>
      <c r="F260" s="15"/>
      <c r="G260" s="15"/>
      <c r="H260" s="15"/>
      <c r="I260" s="15"/>
      <c r="J260" s="51"/>
      <c r="K260" s="15"/>
      <c r="L260" s="15"/>
      <c r="M260" s="15"/>
      <c r="N260" s="51"/>
      <c r="O260" s="15"/>
      <c r="P260" s="15"/>
    </row>
    <row r="261" ht="20.25" customHeight="1" spans="1:16">
      <c r="A261" s="122"/>
      <c r="B261" s="15"/>
      <c r="C261" s="15"/>
      <c r="D261" s="15"/>
      <c r="E261" s="15"/>
      <c r="F261" s="15"/>
      <c r="G261" s="15"/>
      <c r="H261" s="15"/>
      <c r="I261" s="15"/>
      <c r="J261" s="51"/>
      <c r="K261" s="15"/>
      <c r="L261" s="15"/>
      <c r="M261" s="15"/>
      <c r="N261" s="51"/>
      <c r="O261" s="15"/>
      <c r="P261" s="15"/>
    </row>
    <row r="262" ht="20.25" customHeight="1" spans="1:16">
      <c r="A262" s="122"/>
      <c r="B262" s="15"/>
      <c r="C262" s="15"/>
      <c r="D262" s="15"/>
      <c r="E262" s="15"/>
      <c r="F262" s="15"/>
      <c r="G262" s="15"/>
      <c r="H262" s="15"/>
      <c r="I262" s="15"/>
      <c r="J262" s="51"/>
      <c r="K262" s="15"/>
      <c r="L262" s="15"/>
      <c r="M262" s="15"/>
      <c r="N262" s="51"/>
      <c r="O262" s="15"/>
      <c r="P262" s="15"/>
    </row>
    <row r="263" ht="20.25" customHeight="1" spans="1:16">
      <c r="A263" s="122"/>
      <c r="B263" s="15"/>
      <c r="C263" s="15"/>
      <c r="D263" s="15"/>
      <c r="E263" s="15"/>
      <c r="F263" s="15"/>
      <c r="G263" s="15"/>
      <c r="H263" s="15"/>
      <c r="I263" s="15"/>
      <c r="J263" s="51"/>
      <c r="K263" s="15"/>
      <c r="L263" s="15"/>
      <c r="M263" s="15"/>
      <c r="N263" s="51"/>
      <c r="O263" s="15"/>
      <c r="P263" s="15"/>
    </row>
    <row r="264" ht="20.25" customHeight="1" spans="1:16">
      <c r="A264" s="122"/>
      <c r="B264" s="15"/>
      <c r="C264" s="15"/>
      <c r="D264" s="15"/>
      <c r="E264" s="15"/>
      <c r="F264" s="15"/>
      <c r="G264" s="15"/>
      <c r="H264" s="15"/>
      <c r="I264" s="15"/>
      <c r="J264" s="51"/>
      <c r="K264" s="15"/>
      <c r="L264" s="15"/>
      <c r="M264" s="15"/>
      <c r="N264" s="51"/>
      <c r="O264" s="15"/>
      <c r="P264" s="15"/>
    </row>
    <row r="265" ht="20.25" customHeight="1" spans="1:16">
      <c r="A265" s="122"/>
      <c r="B265" s="15"/>
      <c r="C265" s="15"/>
      <c r="D265" s="15"/>
      <c r="E265" s="15"/>
      <c r="F265" s="15"/>
      <c r="G265" s="15"/>
      <c r="H265" s="15"/>
      <c r="I265" s="15"/>
      <c r="J265" s="51"/>
      <c r="K265" s="15"/>
      <c r="L265" s="15"/>
      <c r="M265" s="15"/>
      <c r="N265" s="51"/>
      <c r="O265" s="15"/>
      <c r="P265" s="15"/>
    </row>
    <row r="266" ht="20.25" customHeight="1" spans="1:16">
      <c r="A266" s="122"/>
      <c r="B266" s="15"/>
      <c r="C266" s="15"/>
      <c r="D266" s="15"/>
      <c r="E266" s="15"/>
      <c r="F266" s="15"/>
      <c r="G266" s="15"/>
      <c r="H266" s="15"/>
      <c r="I266" s="15"/>
      <c r="J266" s="51"/>
      <c r="K266" s="15"/>
      <c r="L266" s="15"/>
      <c r="M266" s="15"/>
      <c r="N266" s="51"/>
      <c r="O266" s="15"/>
      <c r="P266" s="15"/>
    </row>
    <row r="267" ht="20.25" customHeight="1" spans="1:16">
      <c r="A267" s="122"/>
      <c r="B267" s="15"/>
      <c r="C267" s="15"/>
      <c r="D267" s="15"/>
      <c r="E267" s="15"/>
      <c r="F267" s="15"/>
      <c r="G267" s="15"/>
      <c r="H267" s="15"/>
      <c r="I267" s="15"/>
      <c r="J267" s="51"/>
      <c r="K267" s="15"/>
      <c r="L267" s="15"/>
      <c r="M267" s="15"/>
      <c r="N267" s="51"/>
      <c r="O267" s="15"/>
      <c r="P267" s="15"/>
    </row>
    <row r="268" ht="20.25" customHeight="1" spans="1:16">
      <c r="A268" s="122"/>
      <c r="B268" s="15"/>
      <c r="C268" s="15"/>
      <c r="D268" s="15"/>
      <c r="E268" s="15"/>
      <c r="F268" s="15"/>
      <c r="G268" s="15"/>
      <c r="H268" s="15"/>
      <c r="I268" s="15"/>
      <c r="J268" s="51"/>
      <c r="K268" s="15"/>
      <c r="L268" s="15"/>
      <c r="M268" s="15"/>
      <c r="N268" s="51"/>
      <c r="O268" s="15"/>
      <c r="P268" s="15"/>
    </row>
    <row r="269" ht="20.25" customHeight="1" spans="1:16">
      <c r="A269" s="122"/>
      <c r="B269" s="15"/>
      <c r="C269" s="15"/>
      <c r="D269" s="15"/>
      <c r="E269" s="15"/>
      <c r="F269" s="15"/>
      <c r="G269" s="15"/>
      <c r="H269" s="15"/>
      <c r="I269" s="15"/>
      <c r="J269" s="51"/>
      <c r="K269" s="15"/>
      <c r="L269" s="15"/>
      <c r="M269" s="15"/>
      <c r="N269" s="51"/>
      <c r="O269" s="15"/>
      <c r="P269" s="15"/>
    </row>
    <row r="270" ht="20.25" customHeight="1" spans="1:16">
      <c r="A270" s="122"/>
      <c r="B270" s="15"/>
      <c r="C270" s="15"/>
      <c r="D270" s="15"/>
      <c r="E270" s="15"/>
      <c r="F270" s="15"/>
      <c r="G270" s="15"/>
      <c r="H270" s="15"/>
      <c r="I270" s="15"/>
      <c r="J270" s="51"/>
      <c r="K270" s="15"/>
      <c r="L270" s="15"/>
      <c r="M270" s="15"/>
      <c r="N270" s="51"/>
      <c r="O270" s="15"/>
      <c r="P270" s="15"/>
    </row>
    <row r="271" ht="20.25" customHeight="1" spans="1:16">
      <c r="A271" s="122"/>
      <c r="B271" s="15"/>
      <c r="C271" s="15"/>
      <c r="D271" s="15"/>
      <c r="E271" s="15"/>
      <c r="F271" s="15"/>
      <c r="G271" s="15"/>
      <c r="H271" s="15"/>
      <c r="I271" s="15"/>
      <c r="J271" s="51"/>
      <c r="K271" s="15"/>
      <c r="L271" s="15"/>
      <c r="M271" s="15"/>
      <c r="N271" s="51"/>
      <c r="O271" s="15"/>
      <c r="P271" s="15"/>
    </row>
    <row r="272" ht="20.25" customHeight="1" spans="1:16">
      <c r="A272" s="122"/>
      <c r="B272" s="15"/>
      <c r="C272" s="15"/>
      <c r="D272" s="15"/>
      <c r="E272" s="15"/>
      <c r="F272" s="15"/>
      <c r="G272" s="15"/>
      <c r="H272" s="15"/>
      <c r="I272" s="15"/>
      <c r="J272" s="51"/>
      <c r="K272" s="15"/>
      <c r="L272" s="15"/>
      <c r="M272" s="15"/>
      <c r="N272" s="51"/>
      <c r="O272" s="15"/>
      <c r="P272" s="15"/>
    </row>
    <row r="273" ht="20.25" customHeight="1" spans="1:16">
      <c r="A273" s="122"/>
      <c r="B273" s="15"/>
      <c r="C273" s="15"/>
      <c r="D273" s="15"/>
      <c r="E273" s="15"/>
      <c r="F273" s="15"/>
      <c r="G273" s="15"/>
      <c r="H273" s="15"/>
      <c r="I273" s="15"/>
      <c r="J273" s="51"/>
      <c r="K273" s="15"/>
      <c r="L273" s="15"/>
      <c r="M273" s="15"/>
      <c r="N273" s="51"/>
      <c r="O273" s="15"/>
      <c r="P273" s="15"/>
    </row>
    <row r="274" ht="20.25" customHeight="1" spans="1:16">
      <c r="A274" s="122"/>
      <c r="B274" s="15"/>
      <c r="C274" s="15"/>
      <c r="D274" s="15"/>
      <c r="E274" s="15"/>
      <c r="F274" s="15"/>
      <c r="G274" s="15"/>
      <c r="H274" s="15"/>
      <c r="I274" s="15"/>
      <c r="J274" s="51"/>
      <c r="K274" s="15"/>
      <c r="L274" s="15"/>
      <c r="M274" s="15"/>
      <c r="N274" s="51"/>
      <c r="O274" s="15"/>
      <c r="P274" s="15"/>
    </row>
    <row r="275" ht="20.25" customHeight="1" spans="1:16">
      <c r="A275" s="122"/>
      <c r="B275" s="15"/>
      <c r="C275" s="15"/>
      <c r="D275" s="15"/>
      <c r="E275" s="15"/>
      <c r="F275" s="15"/>
      <c r="G275" s="15"/>
      <c r="H275" s="15"/>
      <c r="I275" s="15"/>
      <c r="J275" s="51"/>
      <c r="K275" s="15"/>
      <c r="L275" s="15"/>
      <c r="M275" s="15"/>
      <c r="N275" s="51"/>
      <c r="O275" s="15"/>
      <c r="P275" s="15"/>
    </row>
    <row r="276" ht="20.25" customHeight="1" spans="1:16">
      <c r="A276" s="122"/>
      <c r="B276" s="15"/>
      <c r="C276" s="15"/>
      <c r="D276" s="15"/>
      <c r="E276" s="15"/>
      <c r="F276" s="15"/>
      <c r="G276" s="15"/>
      <c r="H276" s="15"/>
      <c r="I276" s="15"/>
      <c r="J276" s="51"/>
      <c r="K276" s="15"/>
      <c r="L276" s="15"/>
      <c r="M276" s="15"/>
      <c r="N276" s="51"/>
      <c r="O276" s="15"/>
      <c r="P276" s="15"/>
    </row>
    <row r="277" ht="20.25" customHeight="1" spans="1:16">
      <c r="A277" s="122"/>
      <c r="B277" s="15"/>
      <c r="C277" s="15"/>
      <c r="D277" s="15"/>
      <c r="E277" s="15"/>
      <c r="F277" s="15"/>
      <c r="G277" s="15"/>
      <c r="H277" s="15"/>
      <c r="I277" s="15"/>
      <c r="J277" s="51"/>
      <c r="K277" s="15"/>
      <c r="L277" s="15"/>
      <c r="M277" s="15"/>
      <c r="N277" s="51"/>
      <c r="O277" s="15"/>
      <c r="P277" s="15"/>
    </row>
    <row r="278" ht="20.25" customHeight="1" spans="1:16">
      <c r="A278" s="122"/>
      <c r="B278" s="15"/>
      <c r="C278" s="15"/>
      <c r="D278" s="15"/>
      <c r="E278" s="15"/>
      <c r="F278" s="15"/>
      <c r="G278" s="15"/>
      <c r="H278" s="15"/>
      <c r="I278" s="15"/>
      <c r="J278" s="51"/>
      <c r="K278" s="15"/>
      <c r="L278" s="15"/>
      <c r="M278" s="15"/>
      <c r="N278" s="51"/>
      <c r="O278" s="15"/>
      <c r="P278" s="15"/>
    </row>
    <row r="279" ht="20.25" customHeight="1" spans="1:16">
      <c r="A279" s="122"/>
      <c r="B279" s="15"/>
      <c r="C279" s="15"/>
      <c r="D279" s="15"/>
      <c r="E279" s="15"/>
      <c r="F279" s="15"/>
      <c r="G279" s="15"/>
      <c r="H279" s="15"/>
      <c r="I279" s="15"/>
      <c r="J279" s="51"/>
      <c r="K279" s="15"/>
      <c r="L279" s="15"/>
      <c r="M279" s="15"/>
      <c r="N279" s="51"/>
      <c r="O279" s="15"/>
      <c r="P279" s="15"/>
    </row>
    <row r="280" ht="20.25" customHeight="1" spans="1:16">
      <c r="A280" s="122"/>
      <c r="B280" s="15"/>
      <c r="C280" s="15"/>
      <c r="D280" s="15"/>
      <c r="E280" s="15"/>
      <c r="F280" s="15"/>
      <c r="G280" s="15"/>
      <c r="H280" s="15"/>
      <c r="I280" s="15"/>
      <c r="J280" s="51"/>
      <c r="K280" s="15"/>
      <c r="L280" s="15"/>
      <c r="M280" s="15"/>
      <c r="N280" s="51"/>
      <c r="O280" s="15"/>
      <c r="P280" s="15"/>
    </row>
    <row r="281" ht="20.25" customHeight="1" spans="1:16">
      <c r="A281" s="122"/>
      <c r="B281" s="15"/>
      <c r="C281" s="15"/>
      <c r="D281" s="15"/>
      <c r="E281" s="15"/>
      <c r="F281" s="15"/>
      <c r="G281" s="15"/>
      <c r="H281" s="15"/>
      <c r="I281" s="15"/>
      <c r="J281" s="51"/>
      <c r="K281" s="15"/>
      <c r="L281" s="15"/>
      <c r="M281" s="15"/>
      <c r="N281" s="51"/>
      <c r="O281" s="15"/>
      <c r="P281" s="15"/>
    </row>
    <row r="282" ht="20.25" customHeight="1" spans="1:16">
      <c r="A282" s="122"/>
      <c r="B282" s="15"/>
      <c r="C282" s="15"/>
      <c r="D282" s="15"/>
      <c r="E282" s="15"/>
      <c r="F282" s="15"/>
      <c r="G282" s="15"/>
      <c r="H282" s="15"/>
      <c r="I282" s="15"/>
      <c r="J282" s="51"/>
      <c r="K282" s="15"/>
      <c r="L282" s="15"/>
      <c r="M282" s="15"/>
      <c r="N282" s="51"/>
      <c r="O282" s="15"/>
      <c r="P282" s="15"/>
    </row>
    <row r="283" ht="20.25" customHeight="1" spans="1:16">
      <c r="A283" s="122"/>
      <c r="B283" s="15"/>
      <c r="C283" s="15"/>
      <c r="D283" s="15"/>
      <c r="E283" s="15"/>
      <c r="F283" s="15"/>
      <c r="G283" s="15"/>
      <c r="H283" s="15"/>
      <c r="I283" s="15"/>
      <c r="J283" s="51"/>
      <c r="K283" s="15"/>
      <c r="L283" s="15"/>
      <c r="M283" s="15"/>
      <c r="N283" s="51"/>
      <c r="O283" s="15"/>
      <c r="P283" s="15"/>
    </row>
    <row r="284" ht="20.25" customHeight="1" spans="1:16">
      <c r="A284" s="122"/>
      <c r="B284" s="15"/>
      <c r="C284" s="15"/>
      <c r="D284" s="15"/>
      <c r="E284" s="15"/>
      <c r="F284" s="15"/>
      <c r="G284" s="15"/>
      <c r="H284" s="15"/>
      <c r="I284" s="15"/>
      <c r="J284" s="51"/>
      <c r="K284" s="15"/>
      <c r="L284" s="15"/>
      <c r="M284" s="15"/>
      <c r="N284" s="51"/>
      <c r="O284" s="15"/>
      <c r="P284" s="15"/>
    </row>
    <row r="285" ht="20.25" customHeight="1" spans="1:16">
      <c r="A285" s="122"/>
      <c r="B285" s="15"/>
      <c r="C285" s="15"/>
      <c r="D285" s="15"/>
      <c r="E285" s="15"/>
      <c r="F285" s="15"/>
      <c r="G285" s="15"/>
      <c r="H285" s="15"/>
      <c r="I285" s="15"/>
      <c r="J285" s="51"/>
      <c r="K285" s="15"/>
      <c r="L285" s="15"/>
      <c r="M285" s="15"/>
      <c r="N285" s="51"/>
      <c r="O285" s="15"/>
      <c r="P285" s="15"/>
    </row>
    <row r="286" ht="20.25" customHeight="1" spans="1:16">
      <c r="A286" s="122"/>
      <c r="B286" s="15"/>
      <c r="C286" s="15"/>
      <c r="D286" s="15"/>
      <c r="E286" s="15"/>
      <c r="F286" s="15"/>
      <c r="G286" s="15"/>
      <c r="H286" s="15"/>
      <c r="I286" s="15"/>
      <c r="J286" s="51"/>
      <c r="K286" s="15"/>
      <c r="L286" s="15"/>
      <c r="M286" s="15"/>
      <c r="N286" s="51"/>
      <c r="O286" s="15"/>
      <c r="P286" s="15"/>
    </row>
    <row r="287" ht="20.25" customHeight="1" spans="1:16">
      <c r="A287" s="122"/>
      <c r="B287" s="15"/>
      <c r="C287" s="15"/>
      <c r="D287" s="15"/>
      <c r="E287" s="15"/>
      <c r="F287" s="15"/>
      <c r="G287" s="15"/>
      <c r="H287" s="15"/>
      <c r="I287" s="15"/>
      <c r="J287" s="51"/>
      <c r="K287" s="15"/>
      <c r="L287" s="15"/>
      <c r="M287" s="15"/>
      <c r="N287" s="51"/>
      <c r="O287" s="15"/>
      <c r="P287" s="15"/>
    </row>
    <row r="288" ht="20.25" customHeight="1" spans="1:16">
      <c r="A288" s="122"/>
      <c r="B288" s="15"/>
      <c r="C288" s="15"/>
      <c r="D288" s="15"/>
      <c r="E288" s="15"/>
      <c r="F288" s="15"/>
      <c r="G288" s="15"/>
      <c r="H288" s="15"/>
      <c r="I288" s="15"/>
      <c r="J288" s="51"/>
      <c r="K288" s="15"/>
      <c r="L288" s="15"/>
      <c r="M288" s="15"/>
      <c r="N288" s="51"/>
      <c r="O288" s="15"/>
      <c r="P288" s="15"/>
    </row>
    <row r="289" ht="20.25" customHeight="1" spans="1:16">
      <c r="A289" s="122"/>
      <c r="B289" s="15"/>
      <c r="C289" s="15"/>
      <c r="D289" s="15"/>
      <c r="E289" s="15"/>
      <c r="F289" s="15"/>
      <c r="G289" s="15"/>
      <c r="H289" s="15"/>
      <c r="I289" s="15"/>
      <c r="J289" s="51"/>
      <c r="K289" s="15"/>
      <c r="L289" s="15"/>
      <c r="M289" s="15"/>
      <c r="N289" s="51"/>
      <c r="O289" s="15"/>
      <c r="P289" s="15"/>
    </row>
    <row r="290" ht="20.25" customHeight="1" spans="1:16">
      <c r="A290" s="122"/>
      <c r="B290" s="15"/>
      <c r="C290" s="15"/>
      <c r="D290" s="15"/>
      <c r="E290" s="15"/>
      <c r="F290" s="15"/>
      <c r="G290" s="15"/>
      <c r="H290" s="15"/>
      <c r="I290" s="15"/>
      <c r="J290" s="51"/>
      <c r="K290" s="15"/>
      <c r="L290" s="15"/>
      <c r="M290" s="15"/>
      <c r="N290" s="51"/>
      <c r="O290" s="15"/>
      <c r="P290" s="15"/>
    </row>
    <row r="291" ht="20.25" customHeight="1" spans="1:16">
      <c r="A291" s="122"/>
      <c r="B291" s="15"/>
      <c r="C291" s="15"/>
      <c r="D291" s="15"/>
      <c r="E291" s="15"/>
      <c r="F291" s="15"/>
      <c r="G291" s="15"/>
      <c r="H291" s="15"/>
      <c r="I291" s="15"/>
      <c r="J291" s="51"/>
      <c r="K291" s="15"/>
      <c r="L291" s="15"/>
      <c r="M291" s="15"/>
      <c r="N291" s="51"/>
      <c r="O291" s="15"/>
      <c r="P291" s="15"/>
    </row>
    <row r="292" ht="20.25" customHeight="1" spans="1:16">
      <c r="A292" s="122"/>
      <c r="B292" s="15"/>
      <c r="C292" s="15"/>
      <c r="D292" s="15"/>
      <c r="E292" s="15"/>
      <c r="F292" s="15"/>
      <c r="G292" s="15"/>
      <c r="H292" s="15"/>
      <c r="I292" s="15"/>
      <c r="J292" s="51"/>
      <c r="K292" s="15"/>
      <c r="L292" s="15"/>
      <c r="M292" s="15"/>
      <c r="N292" s="51"/>
      <c r="O292" s="15"/>
      <c r="P292" s="15"/>
    </row>
    <row r="293" ht="20.25" customHeight="1" spans="1:16">
      <c r="A293" s="122"/>
      <c r="B293" s="15"/>
      <c r="C293" s="15"/>
      <c r="D293" s="15"/>
      <c r="E293" s="15"/>
      <c r="F293" s="15"/>
      <c r="G293" s="15"/>
      <c r="H293" s="15"/>
      <c r="I293" s="15"/>
      <c r="J293" s="51"/>
      <c r="K293" s="15"/>
      <c r="L293" s="15"/>
      <c r="M293" s="15"/>
      <c r="N293" s="51"/>
      <c r="O293" s="15"/>
      <c r="P293" s="15"/>
    </row>
    <row r="294" ht="20.25" customHeight="1" spans="1:16">
      <c r="A294" s="122"/>
      <c r="B294" s="15"/>
      <c r="C294" s="15"/>
      <c r="D294" s="15"/>
      <c r="E294" s="15"/>
      <c r="F294" s="15"/>
      <c r="G294" s="15"/>
      <c r="H294" s="15"/>
      <c r="I294" s="15"/>
      <c r="J294" s="51"/>
      <c r="K294" s="15"/>
      <c r="L294" s="15"/>
      <c r="M294" s="15"/>
      <c r="N294" s="51"/>
      <c r="O294" s="15"/>
      <c r="P294" s="15"/>
    </row>
    <row r="295" ht="20.25" customHeight="1" spans="1:16">
      <c r="A295" s="122"/>
      <c r="B295" s="15"/>
      <c r="C295" s="15"/>
      <c r="D295" s="15"/>
      <c r="E295" s="15"/>
      <c r="F295" s="15"/>
      <c r="G295" s="15"/>
      <c r="H295" s="15"/>
      <c r="I295" s="15"/>
      <c r="J295" s="51"/>
      <c r="K295" s="15"/>
      <c r="L295" s="15"/>
      <c r="M295" s="15"/>
      <c r="N295" s="51"/>
      <c r="O295" s="15"/>
      <c r="P295" s="15"/>
    </row>
    <row r="296" ht="20.25" customHeight="1" spans="1:16">
      <c r="A296" s="122"/>
      <c r="B296" s="15"/>
      <c r="C296" s="15"/>
      <c r="D296" s="15"/>
      <c r="E296" s="15"/>
      <c r="F296" s="15"/>
      <c r="G296" s="15"/>
      <c r="H296" s="15"/>
      <c r="I296" s="15"/>
      <c r="J296" s="51"/>
      <c r="K296" s="15"/>
      <c r="L296" s="15"/>
      <c r="M296" s="15"/>
      <c r="N296" s="51"/>
      <c r="O296" s="15"/>
      <c r="P296" s="15"/>
    </row>
    <row r="297" ht="20.25" customHeight="1" spans="1:16">
      <c r="A297" s="122"/>
      <c r="B297" s="15"/>
      <c r="C297" s="15"/>
      <c r="D297" s="15"/>
      <c r="E297" s="15"/>
      <c r="F297" s="15"/>
      <c r="G297" s="15"/>
      <c r="H297" s="15"/>
      <c r="I297" s="15"/>
      <c r="J297" s="51"/>
      <c r="K297" s="15"/>
      <c r="L297" s="15"/>
      <c r="M297" s="15"/>
      <c r="N297" s="51"/>
      <c r="O297" s="15"/>
      <c r="P297" s="15"/>
    </row>
    <row r="298" ht="20.25" customHeight="1" spans="1:16">
      <c r="A298" s="122"/>
      <c r="B298" s="15"/>
      <c r="C298" s="15"/>
      <c r="D298" s="15"/>
      <c r="E298" s="15"/>
      <c r="F298" s="15"/>
      <c r="G298" s="15"/>
      <c r="H298" s="15"/>
      <c r="I298" s="15"/>
      <c r="J298" s="51"/>
      <c r="K298" s="15"/>
      <c r="L298" s="15"/>
      <c r="M298" s="15"/>
      <c r="N298" s="51"/>
      <c r="O298" s="15"/>
      <c r="P298" s="15"/>
    </row>
    <row r="299" ht="20.25" customHeight="1" spans="1:16">
      <c r="A299" s="122"/>
      <c r="B299" s="15"/>
      <c r="C299" s="15"/>
      <c r="D299" s="15"/>
      <c r="E299" s="15"/>
      <c r="F299" s="15"/>
      <c r="G299" s="15"/>
      <c r="H299" s="15"/>
      <c r="I299" s="15"/>
      <c r="J299" s="51"/>
      <c r="K299" s="15"/>
      <c r="L299" s="15"/>
      <c r="M299" s="15"/>
      <c r="N299" s="51"/>
      <c r="O299" s="15"/>
      <c r="P299" s="15"/>
    </row>
    <row r="300" ht="20.25" customHeight="1" spans="1:16">
      <c r="A300" s="122"/>
      <c r="B300" s="15"/>
      <c r="C300" s="15"/>
      <c r="D300" s="15"/>
      <c r="E300" s="15"/>
      <c r="F300" s="15"/>
      <c r="G300" s="15"/>
      <c r="H300" s="15"/>
      <c r="I300" s="15"/>
      <c r="J300" s="51"/>
      <c r="K300" s="15"/>
      <c r="L300" s="15"/>
      <c r="M300" s="15"/>
      <c r="N300" s="51"/>
      <c r="O300" s="15"/>
      <c r="P300" s="15"/>
    </row>
    <row r="301" ht="20.25" customHeight="1" spans="1:16">
      <c r="A301" s="122"/>
      <c r="B301" s="15"/>
      <c r="C301" s="15"/>
      <c r="D301" s="15"/>
      <c r="E301" s="15"/>
      <c r="F301" s="15"/>
      <c r="G301" s="15"/>
      <c r="H301" s="15"/>
      <c r="I301" s="15"/>
      <c r="J301" s="51"/>
      <c r="K301" s="15"/>
      <c r="L301" s="15"/>
      <c r="M301" s="15"/>
      <c r="N301" s="51"/>
      <c r="O301" s="15"/>
      <c r="P301" s="15"/>
    </row>
    <row r="302" ht="20.25" customHeight="1" spans="1:16">
      <c r="A302" s="122"/>
      <c r="B302" s="15"/>
      <c r="C302" s="15"/>
      <c r="D302" s="15"/>
      <c r="E302" s="15"/>
      <c r="F302" s="15"/>
      <c r="G302" s="15"/>
      <c r="H302" s="15"/>
      <c r="I302" s="15"/>
      <c r="J302" s="51"/>
      <c r="K302" s="15"/>
      <c r="L302" s="15"/>
      <c r="M302" s="15"/>
      <c r="N302" s="51"/>
      <c r="O302" s="15"/>
      <c r="P302" s="15"/>
    </row>
    <row r="303" ht="20.25" customHeight="1" spans="1:16">
      <c r="A303" s="122"/>
      <c r="B303" s="15"/>
      <c r="C303" s="15"/>
      <c r="D303" s="15"/>
      <c r="E303" s="15"/>
      <c r="F303" s="15"/>
      <c r="G303" s="15"/>
      <c r="H303" s="15"/>
      <c r="I303" s="15"/>
      <c r="J303" s="51"/>
      <c r="K303" s="15"/>
      <c r="L303" s="15"/>
      <c r="M303" s="15"/>
      <c r="N303" s="51"/>
      <c r="O303" s="15"/>
      <c r="P303" s="15"/>
    </row>
    <row r="304" ht="20.25" customHeight="1" spans="1:16">
      <c r="A304" s="122"/>
      <c r="B304" s="15"/>
      <c r="C304" s="15"/>
      <c r="D304" s="15"/>
      <c r="E304" s="15"/>
      <c r="F304" s="15"/>
      <c r="G304" s="15"/>
      <c r="H304" s="15"/>
      <c r="I304" s="15"/>
      <c r="J304" s="51"/>
      <c r="K304" s="15"/>
      <c r="L304" s="15"/>
      <c r="M304" s="15"/>
      <c r="N304" s="51"/>
      <c r="O304" s="15"/>
      <c r="P304" s="15"/>
    </row>
    <row r="305" ht="20.25" customHeight="1" spans="1:16">
      <c r="A305" s="122"/>
      <c r="B305" s="15"/>
      <c r="C305" s="15"/>
      <c r="D305" s="15"/>
      <c r="E305" s="15"/>
      <c r="F305" s="15"/>
      <c r="G305" s="15"/>
      <c r="H305" s="15"/>
      <c r="I305" s="15"/>
      <c r="J305" s="51"/>
      <c r="K305" s="15"/>
      <c r="L305" s="15"/>
      <c r="M305" s="15"/>
      <c r="N305" s="51"/>
      <c r="O305" s="15"/>
      <c r="P305" s="15"/>
    </row>
    <row r="306" ht="20.25" customHeight="1" spans="1:16">
      <c r="A306" s="122"/>
      <c r="B306" s="15"/>
      <c r="C306" s="15"/>
      <c r="D306" s="15"/>
      <c r="E306" s="15"/>
      <c r="F306" s="15"/>
      <c r="G306" s="15"/>
      <c r="H306" s="15"/>
      <c r="I306" s="15"/>
      <c r="J306" s="51"/>
      <c r="K306" s="15"/>
      <c r="L306" s="15"/>
      <c r="M306" s="15"/>
      <c r="N306" s="51"/>
      <c r="O306" s="15"/>
      <c r="P306" s="15"/>
    </row>
    <row r="307" ht="20.25" customHeight="1" spans="1:16">
      <c r="A307" s="122"/>
      <c r="B307" s="15"/>
      <c r="C307" s="15"/>
      <c r="D307" s="15"/>
      <c r="E307" s="15"/>
      <c r="F307" s="15"/>
      <c r="G307" s="15"/>
      <c r="H307" s="15"/>
      <c r="I307" s="15"/>
      <c r="J307" s="51"/>
      <c r="K307" s="15"/>
      <c r="L307" s="15"/>
      <c r="M307" s="15"/>
      <c r="N307" s="51"/>
      <c r="O307" s="15"/>
      <c r="P307" s="15"/>
    </row>
    <row r="308" ht="20.25" customHeight="1" spans="1:16">
      <c r="A308" s="122"/>
      <c r="B308" s="15"/>
      <c r="C308" s="15"/>
      <c r="D308" s="15"/>
      <c r="E308" s="15"/>
      <c r="F308" s="15"/>
      <c r="G308" s="15"/>
      <c r="H308" s="15"/>
      <c r="I308" s="15"/>
      <c r="J308" s="51"/>
      <c r="K308" s="15"/>
      <c r="L308" s="15"/>
      <c r="M308" s="15"/>
      <c r="N308" s="51"/>
      <c r="O308" s="15"/>
      <c r="P308" s="15"/>
    </row>
    <row r="309" ht="20.25" customHeight="1" spans="1:16">
      <c r="A309" s="122"/>
      <c r="B309" s="15"/>
      <c r="C309" s="15"/>
      <c r="D309" s="15"/>
      <c r="E309" s="15"/>
      <c r="F309" s="15"/>
      <c r="G309" s="15"/>
      <c r="H309" s="15"/>
      <c r="I309" s="15"/>
      <c r="J309" s="51"/>
      <c r="K309" s="15"/>
      <c r="L309" s="15"/>
      <c r="M309" s="15"/>
      <c r="N309" s="51"/>
      <c r="O309" s="15"/>
      <c r="P309" s="15"/>
    </row>
    <row r="310" ht="20.25" customHeight="1" spans="1:16">
      <c r="A310" s="122"/>
      <c r="B310" s="15"/>
      <c r="C310" s="15"/>
      <c r="D310" s="15"/>
      <c r="E310" s="15"/>
      <c r="F310" s="15"/>
      <c r="G310" s="15"/>
      <c r="H310" s="15"/>
      <c r="I310" s="15"/>
      <c r="J310" s="51"/>
      <c r="K310" s="15"/>
      <c r="L310" s="15"/>
      <c r="M310" s="15"/>
      <c r="N310" s="51"/>
      <c r="O310" s="15"/>
      <c r="P310" s="15"/>
    </row>
    <row r="311" ht="20.25" customHeight="1" spans="1:16">
      <c r="A311" s="122"/>
      <c r="B311" s="15"/>
      <c r="C311" s="15"/>
      <c r="D311" s="15"/>
      <c r="E311" s="15"/>
      <c r="F311" s="15"/>
      <c r="G311" s="15"/>
      <c r="H311" s="15"/>
      <c r="I311" s="15"/>
      <c r="J311" s="51"/>
      <c r="K311" s="15"/>
      <c r="L311" s="15"/>
      <c r="M311" s="15"/>
      <c r="N311" s="51"/>
      <c r="O311" s="15"/>
      <c r="P311" s="15"/>
    </row>
    <row r="312" ht="20.25" customHeight="1" spans="1:16">
      <c r="A312" s="122"/>
      <c r="B312" s="15"/>
      <c r="C312" s="15"/>
      <c r="D312" s="15"/>
      <c r="E312" s="15"/>
      <c r="F312" s="15"/>
      <c r="G312" s="15"/>
      <c r="H312" s="15"/>
      <c r="I312" s="15"/>
      <c r="J312" s="51"/>
      <c r="K312" s="15"/>
      <c r="L312" s="15"/>
      <c r="M312" s="15"/>
      <c r="N312" s="51"/>
      <c r="O312" s="15"/>
      <c r="P312" s="15"/>
    </row>
    <row r="313" ht="20.25" customHeight="1" spans="1:16">
      <c r="A313" s="122"/>
      <c r="B313" s="15"/>
      <c r="C313" s="15"/>
      <c r="D313" s="15"/>
      <c r="E313" s="15"/>
      <c r="F313" s="15"/>
      <c r="G313" s="15"/>
      <c r="H313" s="15"/>
      <c r="I313" s="15"/>
      <c r="J313" s="51"/>
      <c r="K313" s="15"/>
      <c r="L313" s="15"/>
      <c r="M313" s="15"/>
      <c r="N313" s="51"/>
      <c r="O313" s="15"/>
      <c r="P313" s="15"/>
    </row>
    <row r="314" ht="20.25" customHeight="1" spans="1:16">
      <c r="A314" s="122"/>
      <c r="B314" s="15"/>
      <c r="C314" s="15"/>
      <c r="D314" s="15"/>
      <c r="E314" s="15"/>
      <c r="F314" s="15"/>
      <c r="G314" s="15"/>
      <c r="H314" s="15"/>
      <c r="I314" s="15"/>
      <c r="J314" s="51"/>
      <c r="K314" s="15"/>
      <c r="L314" s="15"/>
      <c r="M314" s="15"/>
      <c r="N314" s="51"/>
      <c r="O314" s="15"/>
      <c r="P314" s="15"/>
    </row>
    <row r="315" ht="20.25" customHeight="1" spans="1:16">
      <c r="A315" s="122"/>
      <c r="B315" s="15"/>
      <c r="C315" s="15"/>
      <c r="D315" s="15"/>
      <c r="E315" s="15"/>
      <c r="F315" s="15"/>
      <c r="G315" s="15"/>
      <c r="H315" s="15"/>
      <c r="I315" s="15"/>
      <c r="J315" s="51"/>
      <c r="K315" s="15"/>
      <c r="L315" s="15"/>
      <c r="M315" s="15"/>
      <c r="N315" s="51"/>
      <c r="O315" s="15"/>
      <c r="P315" s="15"/>
    </row>
    <row r="316" ht="20.25" customHeight="1" spans="1:16">
      <c r="A316" s="122"/>
      <c r="B316" s="15"/>
      <c r="C316" s="15"/>
      <c r="D316" s="15"/>
      <c r="E316" s="15"/>
      <c r="F316" s="15"/>
      <c r="G316" s="15"/>
      <c r="H316" s="15"/>
      <c r="I316" s="15"/>
      <c r="J316" s="51"/>
      <c r="K316" s="15"/>
      <c r="L316" s="15"/>
      <c r="M316" s="15"/>
      <c r="N316" s="51"/>
      <c r="O316" s="15"/>
      <c r="P316" s="15"/>
    </row>
    <row r="317" ht="20.25" customHeight="1" spans="1:16">
      <c r="A317" s="122"/>
      <c r="B317" s="15"/>
      <c r="C317" s="15"/>
      <c r="D317" s="15"/>
      <c r="E317" s="15"/>
      <c r="F317" s="15"/>
      <c r="G317" s="15"/>
      <c r="H317" s="15"/>
      <c r="I317" s="15"/>
      <c r="J317" s="51"/>
      <c r="K317" s="15"/>
      <c r="L317" s="15"/>
      <c r="M317" s="15"/>
      <c r="N317" s="51"/>
      <c r="O317" s="15"/>
      <c r="P317" s="15"/>
    </row>
    <row r="318" ht="20.25" customHeight="1" spans="1:16">
      <c r="A318" s="122"/>
      <c r="B318" s="15"/>
      <c r="C318" s="15"/>
      <c r="D318" s="15"/>
      <c r="E318" s="15"/>
      <c r="F318" s="15"/>
      <c r="G318" s="15"/>
      <c r="H318" s="15"/>
      <c r="I318" s="15"/>
      <c r="J318" s="51"/>
      <c r="K318" s="15"/>
      <c r="L318" s="15"/>
      <c r="M318" s="15"/>
      <c r="N318" s="51"/>
      <c r="O318" s="15"/>
      <c r="P318" s="15"/>
    </row>
    <row r="319" ht="20.25" customHeight="1" spans="1:16">
      <c r="A319" s="122"/>
      <c r="B319" s="15"/>
      <c r="C319" s="15"/>
      <c r="D319" s="15"/>
      <c r="E319" s="15"/>
      <c r="F319" s="15"/>
      <c r="G319" s="15"/>
      <c r="H319" s="15"/>
      <c r="I319" s="15"/>
      <c r="J319" s="51"/>
      <c r="K319" s="15"/>
      <c r="L319" s="15"/>
      <c r="M319" s="15"/>
      <c r="N319" s="51"/>
      <c r="O319" s="15"/>
      <c r="P319" s="15"/>
    </row>
    <row r="320" ht="20.25" customHeight="1" spans="1:16">
      <c r="A320" s="122"/>
      <c r="B320" s="15"/>
      <c r="C320" s="15"/>
      <c r="D320" s="15"/>
      <c r="E320" s="15"/>
      <c r="F320" s="15"/>
      <c r="G320" s="15"/>
      <c r="H320" s="15"/>
      <c r="I320" s="15"/>
      <c r="J320" s="51"/>
      <c r="K320" s="15"/>
      <c r="L320" s="15"/>
      <c r="M320" s="15"/>
      <c r="N320" s="51"/>
      <c r="O320" s="15"/>
      <c r="P320" s="15"/>
    </row>
    <row r="321" ht="20.25" customHeight="1" spans="1:16">
      <c r="A321" s="122"/>
      <c r="B321" s="15"/>
      <c r="C321" s="15"/>
      <c r="D321" s="15"/>
      <c r="E321" s="15"/>
      <c r="F321" s="15"/>
      <c r="G321" s="15"/>
      <c r="H321" s="15"/>
      <c r="I321" s="15"/>
      <c r="J321" s="51"/>
      <c r="K321" s="15"/>
      <c r="L321" s="15"/>
      <c r="M321" s="15"/>
      <c r="N321" s="51"/>
      <c r="O321" s="15"/>
      <c r="P321" s="15"/>
    </row>
    <row r="322" ht="20.25" customHeight="1" spans="1:16">
      <c r="A322" s="122"/>
      <c r="B322" s="15"/>
      <c r="C322" s="15"/>
      <c r="D322" s="15"/>
      <c r="E322" s="15"/>
      <c r="F322" s="15"/>
      <c r="G322" s="15"/>
      <c r="H322" s="15"/>
      <c r="I322" s="15"/>
      <c r="J322" s="51"/>
      <c r="K322" s="15"/>
      <c r="L322" s="15"/>
      <c r="M322" s="15"/>
      <c r="N322" s="51"/>
      <c r="O322" s="15"/>
      <c r="P322" s="15"/>
    </row>
    <row r="323" ht="20.25" customHeight="1" spans="1:16">
      <c r="A323" s="122"/>
      <c r="B323" s="15"/>
      <c r="C323" s="15"/>
      <c r="D323" s="15"/>
      <c r="E323" s="15"/>
      <c r="F323" s="15"/>
      <c r="G323" s="15"/>
      <c r="H323" s="15"/>
      <c r="I323" s="15"/>
      <c r="J323" s="51"/>
      <c r="K323" s="15"/>
      <c r="L323" s="15"/>
      <c r="M323" s="15"/>
      <c r="N323" s="51"/>
      <c r="O323" s="15"/>
      <c r="P323" s="15"/>
    </row>
    <row r="324" ht="20.25" customHeight="1" spans="1:16">
      <c r="A324" s="122"/>
      <c r="B324" s="15"/>
      <c r="C324" s="15"/>
      <c r="D324" s="15"/>
      <c r="E324" s="15"/>
      <c r="F324" s="15"/>
      <c r="G324" s="15"/>
      <c r="H324" s="15"/>
      <c r="I324" s="15"/>
      <c r="J324" s="51"/>
      <c r="K324" s="15"/>
      <c r="L324" s="15"/>
      <c r="M324" s="15"/>
      <c r="N324" s="51"/>
      <c r="O324" s="15"/>
      <c r="P324" s="15"/>
    </row>
    <row r="325" ht="20.25" customHeight="1" spans="1:16">
      <c r="A325" s="122"/>
      <c r="B325" s="15"/>
      <c r="C325" s="15"/>
      <c r="D325" s="15"/>
      <c r="E325" s="15"/>
      <c r="F325" s="15"/>
      <c r="G325" s="15"/>
      <c r="H325" s="15"/>
      <c r="I325" s="15"/>
      <c r="J325" s="51"/>
      <c r="K325" s="15"/>
      <c r="L325" s="15"/>
      <c r="M325" s="15"/>
      <c r="N325" s="51"/>
      <c r="O325" s="15"/>
      <c r="P325" s="15"/>
    </row>
    <row r="326" ht="20.25" customHeight="1" spans="1:16">
      <c r="A326" s="122"/>
      <c r="B326" s="15"/>
      <c r="C326" s="15"/>
      <c r="D326" s="15"/>
      <c r="E326" s="15"/>
      <c r="F326" s="15"/>
      <c r="G326" s="15"/>
      <c r="H326" s="15"/>
      <c r="I326" s="15"/>
      <c r="J326" s="51"/>
      <c r="K326" s="15"/>
      <c r="L326" s="15"/>
      <c r="M326" s="15"/>
      <c r="N326" s="51"/>
      <c r="O326" s="15"/>
      <c r="P326" s="15"/>
    </row>
    <row r="327" ht="20.25" customHeight="1" spans="1:16">
      <c r="A327" s="122"/>
      <c r="B327" s="15"/>
      <c r="C327" s="15"/>
      <c r="D327" s="15"/>
      <c r="E327" s="15"/>
      <c r="F327" s="15"/>
      <c r="G327" s="15"/>
      <c r="H327" s="15"/>
      <c r="I327" s="15"/>
      <c r="J327" s="51"/>
      <c r="K327" s="15"/>
      <c r="L327" s="15"/>
      <c r="M327" s="15"/>
      <c r="N327" s="51"/>
      <c r="O327" s="15"/>
      <c r="P327" s="15"/>
    </row>
    <row r="328" ht="20.25" customHeight="1" spans="1:16">
      <c r="A328" s="122"/>
      <c r="B328" s="15"/>
      <c r="C328" s="15"/>
      <c r="D328" s="15"/>
      <c r="E328" s="15"/>
      <c r="F328" s="15"/>
      <c r="G328" s="15"/>
      <c r="H328" s="15"/>
      <c r="I328" s="15"/>
      <c r="J328" s="51"/>
      <c r="K328" s="15"/>
      <c r="L328" s="15"/>
      <c r="M328" s="15"/>
      <c r="N328" s="51"/>
      <c r="O328" s="15"/>
      <c r="P328" s="15"/>
    </row>
    <row r="329" ht="20.25" customHeight="1" spans="1:16">
      <c r="A329" s="122"/>
      <c r="B329" s="15"/>
      <c r="C329" s="15"/>
      <c r="D329" s="15"/>
      <c r="E329" s="15"/>
      <c r="F329" s="15"/>
      <c r="G329" s="15"/>
      <c r="H329" s="15"/>
      <c r="I329" s="15"/>
      <c r="J329" s="51"/>
      <c r="K329" s="15"/>
      <c r="L329" s="15"/>
      <c r="M329" s="15"/>
      <c r="N329" s="51"/>
      <c r="O329" s="15"/>
      <c r="P329" s="15"/>
    </row>
    <row r="330" ht="20.25" customHeight="1" spans="1:16">
      <c r="A330" s="122"/>
      <c r="B330" s="15"/>
      <c r="C330" s="15"/>
      <c r="D330" s="15"/>
      <c r="E330" s="15"/>
      <c r="F330" s="15"/>
      <c r="G330" s="15"/>
      <c r="H330" s="15"/>
      <c r="I330" s="15"/>
      <c r="J330" s="51"/>
      <c r="K330" s="15"/>
      <c r="L330" s="15"/>
      <c r="M330" s="15"/>
      <c r="N330" s="51"/>
      <c r="O330" s="15"/>
      <c r="P330" s="15"/>
    </row>
    <row r="331" ht="20.25" customHeight="1" spans="1:16">
      <c r="A331" s="122"/>
      <c r="B331" s="15"/>
      <c r="C331" s="15"/>
      <c r="D331" s="15"/>
      <c r="E331" s="15"/>
      <c r="F331" s="15"/>
      <c r="G331" s="15"/>
      <c r="H331" s="15"/>
      <c r="I331" s="15"/>
      <c r="J331" s="51"/>
      <c r="K331" s="15"/>
      <c r="L331" s="15"/>
      <c r="M331" s="15"/>
      <c r="N331" s="51"/>
      <c r="O331" s="15"/>
      <c r="P331" s="15"/>
    </row>
    <row r="332" ht="20.25" customHeight="1" spans="1:16">
      <c r="A332" s="122"/>
      <c r="B332" s="15"/>
      <c r="C332" s="15"/>
      <c r="D332" s="15"/>
      <c r="E332" s="15"/>
      <c r="F332" s="15"/>
      <c r="G332" s="15"/>
      <c r="H332" s="15"/>
      <c r="I332" s="15"/>
      <c r="J332" s="51"/>
      <c r="K332" s="15"/>
      <c r="L332" s="15"/>
      <c r="M332" s="15"/>
      <c r="N332" s="51"/>
      <c r="O332" s="15"/>
      <c r="P332" s="15"/>
    </row>
    <row r="333" ht="20.25" customHeight="1" spans="1:16">
      <c r="A333" s="122"/>
      <c r="B333" s="15"/>
      <c r="C333" s="15"/>
      <c r="D333" s="15"/>
      <c r="E333" s="15"/>
      <c r="F333" s="15"/>
      <c r="G333" s="15"/>
      <c r="H333" s="15"/>
      <c r="I333" s="15"/>
      <c r="J333" s="51"/>
      <c r="K333" s="15"/>
      <c r="L333" s="15"/>
      <c r="M333" s="15"/>
      <c r="N333" s="51"/>
      <c r="O333" s="15"/>
      <c r="P333" s="15"/>
    </row>
    <row r="334" ht="20.25" customHeight="1" spans="1:16">
      <c r="A334" s="122"/>
      <c r="B334" s="15"/>
      <c r="C334" s="15"/>
      <c r="D334" s="15"/>
      <c r="E334" s="15"/>
      <c r="F334" s="15"/>
      <c r="G334" s="15"/>
      <c r="H334" s="15"/>
      <c r="I334" s="15"/>
      <c r="J334" s="51"/>
      <c r="K334" s="15"/>
      <c r="L334" s="15"/>
      <c r="M334" s="15"/>
      <c r="N334" s="51"/>
      <c r="O334" s="15"/>
      <c r="P334" s="15"/>
    </row>
    <row r="335" ht="20.25" customHeight="1" spans="1:16">
      <c r="A335" s="122"/>
      <c r="B335" s="15"/>
      <c r="C335" s="15"/>
      <c r="D335" s="15"/>
      <c r="E335" s="15"/>
      <c r="F335" s="15"/>
      <c r="G335" s="15"/>
      <c r="H335" s="15"/>
      <c r="I335" s="15"/>
      <c r="J335" s="51"/>
      <c r="K335" s="15"/>
      <c r="L335" s="15"/>
      <c r="M335" s="15"/>
      <c r="N335" s="51"/>
      <c r="O335" s="15"/>
      <c r="P335" s="15"/>
    </row>
    <row r="336" ht="20.25" customHeight="1" spans="1:16">
      <c r="A336" s="122"/>
      <c r="B336" s="15"/>
      <c r="C336" s="15"/>
      <c r="D336" s="15"/>
      <c r="E336" s="15"/>
      <c r="F336" s="15"/>
      <c r="G336" s="15"/>
      <c r="H336" s="15"/>
      <c r="I336" s="15"/>
      <c r="J336" s="51"/>
      <c r="K336" s="15"/>
      <c r="L336" s="15"/>
      <c r="M336" s="15"/>
      <c r="N336" s="51"/>
      <c r="O336" s="15"/>
      <c r="P336" s="15"/>
    </row>
    <row r="337" ht="20.25" customHeight="1" spans="1:16">
      <c r="A337" s="122"/>
      <c r="B337" s="15"/>
      <c r="C337" s="15"/>
      <c r="D337" s="15"/>
      <c r="E337" s="15"/>
      <c r="F337" s="15"/>
      <c r="G337" s="15"/>
      <c r="H337" s="15"/>
      <c r="I337" s="15"/>
      <c r="J337" s="51"/>
      <c r="K337" s="15"/>
      <c r="L337" s="15"/>
      <c r="M337" s="15"/>
      <c r="N337" s="51"/>
      <c r="O337" s="15"/>
      <c r="P337" s="15"/>
    </row>
    <row r="338" ht="20.25" customHeight="1" spans="1:16">
      <c r="A338" s="122"/>
      <c r="B338" s="15"/>
      <c r="C338" s="15"/>
      <c r="D338" s="15"/>
      <c r="E338" s="15"/>
      <c r="F338" s="15"/>
      <c r="G338" s="15"/>
      <c r="H338" s="15"/>
      <c r="I338" s="15"/>
      <c r="J338" s="51"/>
      <c r="K338" s="15"/>
      <c r="L338" s="15"/>
      <c r="M338" s="15"/>
      <c r="N338" s="51"/>
      <c r="O338" s="15"/>
      <c r="P338" s="15"/>
    </row>
    <row r="339" ht="20.25" customHeight="1" spans="1:16">
      <c r="A339" s="122"/>
      <c r="B339" s="15"/>
      <c r="C339" s="15"/>
      <c r="D339" s="15"/>
      <c r="E339" s="15"/>
      <c r="F339" s="15"/>
      <c r="G339" s="15"/>
      <c r="H339" s="15"/>
      <c r="I339" s="15"/>
      <c r="J339" s="51"/>
      <c r="K339" s="15"/>
      <c r="L339" s="15"/>
      <c r="M339" s="15"/>
      <c r="N339" s="51"/>
      <c r="O339" s="15"/>
      <c r="P339" s="15"/>
    </row>
    <row r="340" ht="20.25" customHeight="1" spans="1:16">
      <c r="A340" s="122"/>
      <c r="B340" s="15"/>
      <c r="C340" s="15"/>
      <c r="D340" s="15"/>
      <c r="E340" s="15"/>
      <c r="F340" s="15"/>
      <c r="G340" s="15"/>
      <c r="H340" s="15"/>
      <c r="I340" s="15"/>
      <c r="J340" s="51"/>
      <c r="K340" s="15"/>
      <c r="L340" s="15"/>
      <c r="M340" s="15"/>
      <c r="N340" s="51"/>
      <c r="O340" s="15"/>
      <c r="P340" s="15"/>
    </row>
    <row r="341" ht="20.25" customHeight="1" spans="1:16">
      <c r="A341" s="122"/>
      <c r="B341" s="15"/>
      <c r="C341" s="15"/>
      <c r="D341" s="15"/>
      <c r="E341" s="15"/>
      <c r="F341" s="15"/>
      <c r="G341" s="15"/>
      <c r="H341" s="15"/>
      <c r="I341" s="15"/>
      <c r="J341" s="51"/>
      <c r="K341" s="15"/>
      <c r="L341" s="15"/>
      <c r="M341" s="15"/>
      <c r="N341" s="51"/>
      <c r="O341" s="15"/>
      <c r="P341" s="15"/>
    </row>
    <row r="342" ht="20.25" customHeight="1" spans="1:16">
      <c r="A342" s="122"/>
      <c r="B342" s="15"/>
      <c r="C342" s="15"/>
      <c r="D342" s="15"/>
      <c r="E342" s="15"/>
      <c r="F342" s="15"/>
      <c r="G342" s="15"/>
      <c r="H342" s="15"/>
      <c r="I342" s="15"/>
      <c r="J342" s="51"/>
      <c r="K342" s="15"/>
      <c r="L342" s="15"/>
      <c r="M342" s="15"/>
      <c r="N342" s="51"/>
      <c r="O342" s="15"/>
      <c r="P342" s="15"/>
    </row>
    <row r="343" ht="20.25" customHeight="1" spans="1:16">
      <c r="A343" s="122"/>
      <c r="B343" s="15"/>
      <c r="C343" s="15"/>
      <c r="D343" s="15"/>
      <c r="E343" s="15"/>
      <c r="F343" s="15"/>
      <c r="G343" s="15"/>
      <c r="H343" s="15"/>
      <c r="I343" s="15"/>
      <c r="J343" s="51"/>
      <c r="K343" s="15"/>
      <c r="L343" s="15"/>
      <c r="M343" s="15"/>
      <c r="N343" s="51"/>
      <c r="O343" s="15"/>
      <c r="P343" s="15"/>
    </row>
    <row r="344" ht="20.25" customHeight="1" spans="1:16">
      <c r="A344" s="122"/>
      <c r="B344" s="15"/>
      <c r="C344" s="15"/>
      <c r="D344" s="15"/>
      <c r="E344" s="15"/>
      <c r="F344" s="15"/>
      <c r="G344" s="15"/>
      <c r="H344" s="15"/>
      <c r="I344" s="15"/>
      <c r="J344" s="51"/>
      <c r="K344" s="15"/>
      <c r="L344" s="15"/>
      <c r="M344" s="15"/>
      <c r="N344" s="51"/>
      <c r="O344" s="15"/>
      <c r="P344" s="15"/>
    </row>
    <row r="345" ht="20.25" customHeight="1" spans="1:16">
      <c r="A345" s="122"/>
      <c r="B345" s="15"/>
      <c r="C345" s="15"/>
      <c r="D345" s="15"/>
      <c r="E345" s="15"/>
      <c r="F345" s="15"/>
      <c r="G345" s="15"/>
      <c r="H345" s="15"/>
      <c r="I345" s="15"/>
      <c r="J345" s="51"/>
      <c r="K345" s="15"/>
      <c r="L345" s="15"/>
      <c r="M345" s="15"/>
      <c r="N345" s="51"/>
      <c r="O345" s="15"/>
      <c r="P345" s="15"/>
    </row>
    <row r="346" ht="20.25" customHeight="1" spans="1:16">
      <c r="A346" s="122"/>
      <c r="B346" s="15"/>
      <c r="C346" s="15"/>
      <c r="D346" s="15"/>
      <c r="E346" s="15"/>
      <c r="F346" s="15"/>
      <c r="G346" s="15"/>
      <c r="H346" s="15"/>
      <c r="I346" s="15"/>
      <c r="J346" s="51"/>
      <c r="K346" s="15"/>
      <c r="L346" s="15"/>
      <c r="M346" s="15"/>
      <c r="N346" s="51"/>
      <c r="O346" s="15"/>
      <c r="P346" s="15"/>
    </row>
    <row r="347" ht="20.25" customHeight="1" spans="1:16">
      <c r="A347" s="122"/>
      <c r="B347" s="15"/>
      <c r="C347" s="15"/>
      <c r="D347" s="15"/>
      <c r="E347" s="15"/>
      <c r="F347" s="15"/>
      <c r="G347" s="15"/>
      <c r="H347" s="15"/>
      <c r="I347" s="15"/>
      <c r="J347" s="51"/>
      <c r="K347" s="15"/>
      <c r="L347" s="15"/>
      <c r="M347" s="15"/>
      <c r="N347" s="51"/>
      <c r="O347" s="15"/>
      <c r="P347" s="15"/>
    </row>
    <row r="348" ht="20.25" customHeight="1" spans="1:16">
      <c r="A348" s="122"/>
      <c r="B348" s="15"/>
      <c r="C348" s="15"/>
      <c r="D348" s="15"/>
      <c r="E348" s="15"/>
      <c r="F348" s="15"/>
      <c r="G348" s="15"/>
      <c r="H348" s="15"/>
      <c r="I348" s="15"/>
      <c r="J348" s="51"/>
      <c r="K348" s="15"/>
      <c r="L348" s="15"/>
      <c r="M348" s="15"/>
      <c r="N348" s="51"/>
      <c r="O348" s="15"/>
      <c r="P348" s="15"/>
    </row>
    <row r="349" ht="20.25" customHeight="1" spans="1:16">
      <c r="A349" s="122"/>
      <c r="B349" s="15"/>
      <c r="C349" s="15"/>
      <c r="D349" s="15"/>
      <c r="E349" s="15"/>
      <c r="F349" s="15"/>
      <c r="G349" s="15"/>
      <c r="H349" s="15"/>
      <c r="I349" s="15"/>
      <c r="J349" s="51"/>
      <c r="K349" s="15"/>
      <c r="L349" s="15"/>
      <c r="M349" s="15"/>
      <c r="N349" s="51"/>
      <c r="O349" s="15"/>
      <c r="P349" s="15"/>
    </row>
    <row r="350" ht="20.25" customHeight="1" spans="1:16">
      <c r="A350" s="122"/>
      <c r="B350" s="15"/>
      <c r="C350" s="15"/>
      <c r="D350" s="15"/>
      <c r="E350" s="15"/>
      <c r="F350" s="15"/>
      <c r="G350" s="15"/>
      <c r="H350" s="15"/>
      <c r="I350" s="15"/>
      <c r="J350" s="51"/>
      <c r="K350" s="15"/>
      <c r="L350" s="15"/>
      <c r="M350" s="15"/>
      <c r="N350" s="51"/>
      <c r="O350" s="15"/>
      <c r="P350" s="15"/>
    </row>
    <row r="351" ht="20.25" customHeight="1" spans="1:16">
      <c r="A351" s="122"/>
      <c r="B351" s="15"/>
      <c r="C351" s="15"/>
      <c r="D351" s="15"/>
      <c r="E351" s="15"/>
      <c r="F351" s="15"/>
      <c r="G351" s="15"/>
      <c r="H351" s="15"/>
      <c r="I351" s="15"/>
      <c r="J351" s="51"/>
      <c r="K351" s="15"/>
      <c r="L351" s="15"/>
      <c r="M351" s="15"/>
      <c r="N351" s="51"/>
      <c r="O351" s="15"/>
      <c r="P351" s="15"/>
    </row>
    <row r="352" ht="20.25" customHeight="1" spans="1:16">
      <c r="A352" s="122"/>
      <c r="B352" s="15"/>
      <c r="C352" s="15"/>
      <c r="D352" s="15"/>
      <c r="E352" s="15"/>
      <c r="F352" s="15"/>
      <c r="G352" s="15"/>
      <c r="H352" s="15"/>
      <c r="I352" s="15"/>
      <c r="J352" s="51"/>
      <c r="K352" s="15"/>
      <c r="L352" s="15"/>
      <c r="M352" s="15"/>
      <c r="N352" s="51"/>
      <c r="O352" s="15"/>
      <c r="P352" s="15"/>
    </row>
    <row r="353" ht="20.25" customHeight="1" spans="1:16">
      <c r="A353" s="122"/>
      <c r="B353" s="15"/>
      <c r="C353" s="15"/>
      <c r="D353" s="15"/>
      <c r="E353" s="15"/>
      <c r="F353" s="15"/>
      <c r="G353" s="15"/>
      <c r="H353" s="15"/>
      <c r="I353" s="15"/>
      <c r="J353" s="51"/>
      <c r="K353" s="15"/>
      <c r="L353" s="15"/>
      <c r="M353" s="15"/>
      <c r="N353" s="51"/>
      <c r="O353" s="15"/>
      <c r="P353" s="15"/>
    </row>
    <row r="354" ht="20.25" customHeight="1" spans="1:16">
      <c r="A354" s="122"/>
      <c r="B354" s="15"/>
      <c r="C354" s="15"/>
      <c r="D354" s="15"/>
      <c r="E354" s="15"/>
      <c r="F354" s="15"/>
      <c r="G354" s="15"/>
      <c r="H354" s="15"/>
      <c r="I354" s="15"/>
      <c r="J354" s="51"/>
      <c r="K354" s="15"/>
      <c r="L354" s="15"/>
      <c r="M354" s="15"/>
      <c r="N354" s="51"/>
      <c r="O354" s="15"/>
      <c r="P354" s="15"/>
    </row>
    <row r="355" ht="20.25" customHeight="1" spans="1:16">
      <c r="A355" s="122"/>
      <c r="B355" s="15"/>
      <c r="C355" s="15"/>
      <c r="D355" s="15"/>
      <c r="E355" s="15"/>
      <c r="F355" s="15"/>
      <c r="G355" s="15"/>
      <c r="H355" s="15"/>
      <c r="I355" s="15"/>
      <c r="J355" s="51"/>
      <c r="K355" s="15"/>
      <c r="L355" s="15"/>
      <c r="M355" s="15"/>
      <c r="N355" s="51"/>
      <c r="O355" s="15"/>
      <c r="P355" s="15"/>
    </row>
    <row r="356" ht="20.25" customHeight="1" spans="1:16">
      <c r="A356" s="122"/>
      <c r="B356" s="15"/>
      <c r="C356" s="15"/>
      <c r="D356" s="15"/>
      <c r="E356" s="15"/>
      <c r="F356" s="15"/>
      <c r="G356" s="15"/>
      <c r="H356" s="15"/>
      <c r="I356" s="15"/>
      <c r="J356" s="51"/>
      <c r="K356" s="15"/>
      <c r="L356" s="15"/>
      <c r="M356" s="15"/>
      <c r="N356" s="51"/>
      <c r="O356" s="15"/>
      <c r="P356" s="15"/>
    </row>
    <row r="357" ht="20.25" customHeight="1" spans="1:16">
      <c r="A357" s="122"/>
      <c r="B357" s="15"/>
      <c r="C357" s="15"/>
      <c r="D357" s="15"/>
      <c r="E357" s="15"/>
      <c r="F357" s="15"/>
      <c r="G357" s="15"/>
      <c r="H357" s="15"/>
      <c r="I357" s="15"/>
      <c r="J357" s="51"/>
      <c r="K357" s="15"/>
      <c r="L357" s="15"/>
      <c r="M357" s="15"/>
      <c r="N357" s="51"/>
      <c r="O357" s="15"/>
      <c r="P357" s="15"/>
    </row>
    <row r="358" ht="20.25" customHeight="1" spans="1:16">
      <c r="A358" s="122"/>
      <c r="B358" s="15"/>
      <c r="C358" s="15"/>
      <c r="D358" s="15"/>
      <c r="E358" s="15"/>
      <c r="F358" s="15"/>
      <c r="G358" s="15"/>
      <c r="H358" s="15"/>
      <c r="I358" s="15"/>
      <c r="J358" s="51"/>
      <c r="K358" s="15"/>
      <c r="L358" s="15"/>
      <c r="M358" s="15"/>
      <c r="N358" s="51"/>
      <c r="O358" s="15"/>
      <c r="P358" s="15"/>
    </row>
    <row r="359" ht="20.25" customHeight="1" spans="1:16">
      <c r="A359" s="122"/>
      <c r="B359" s="15"/>
      <c r="C359" s="15"/>
      <c r="D359" s="15"/>
      <c r="E359" s="15"/>
      <c r="F359" s="15"/>
      <c r="G359" s="15"/>
      <c r="H359" s="15"/>
      <c r="I359" s="15"/>
      <c r="J359" s="51"/>
      <c r="K359" s="15"/>
      <c r="L359" s="15"/>
      <c r="M359" s="15"/>
      <c r="N359" s="51"/>
      <c r="O359" s="15"/>
      <c r="P359" s="15"/>
    </row>
    <row r="360" ht="20.25" customHeight="1" spans="1:16">
      <c r="A360" s="122"/>
      <c r="B360" s="15"/>
      <c r="C360" s="15"/>
      <c r="D360" s="15"/>
      <c r="E360" s="15"/>
      <c r="F360" s="15"/>
      <c r="G360" s="15"/>
      <c r="H360" s="15"/>
      <c r="I360" s="15"/>
      <c r="J360" s="51"/>
      <c r="K360" s="15"/>
      <c r="L360" s="15"/>
      <c r="M360" s="15"/>
      <c r="N360" s="51"/>
      <c r="O360" s="15"/>
      <c r="P360" s="15"/>
    </row>
    <row r="361" ht="20.25" customHeight="1" spans="1:16">
      <c r="A361" s="122"/>
      <c r="B361" s="15"/>
      <c r="C361" s="15"/>
      <c r="D361" s="15"/>
      <c r="E361" s="15"/>
      <c r="F361" s="15"/>
      <c r="G361" s="15"/>
      <c r="H361" s="15"/>
      <c r="I361" s="15"/>
      <c r="J361" s="51"/>
      <c r="K361" s="15"/>
      <c r="L361" s="15"/>
      <c r="M361" s="15"/>
      <c r="N361" s="51"/>
      <c r="O361" s="15"/>
      <c r="P361" s="15"/>
    </row>
    <row r="362" ht="20.25" customHeight="1" spans="1:16">
      <c r="A362" s="122"/>
      <c r="B362" s="15"/>
      <c r="C362" s="15"/>
      <c r="D362" s="15"/>
      <c r="E362" s="15"/>
      <c r="F362" s="15"/>
      <c r="G362" s="15"/>
      <c r="H362" s="15"/>
      <c r="I362" s="15"/>
      <c r="J362" s="51"/>
      <c r="K362" s="15"/>
      <c r="L362" s="15"/>
      <c r="M362" s="15"/>
      <c r="N362" s="51"/>
      <c r="O362" s="15"/>
      <c r="P362" s="15"/>
    </row>
    <row r="363" ht="20.25" customHeight="1" spans="1:16">
      <c r="A363" s="122"/>
      <c r="B363" s="15"/>
      <c r="C363" s="15"/>
      <c r="D363" s="15"/>
      <c r="E363" s="15"/>
      <c r="F363" s="15"/>
      <c r="G363" s="15"/>
      <c r="H363" s="15"/>
      <c r="I363" s="15"/>
      <c r="J363" s="51"/>
      <c r="K363" s="15"/>
      <c r="L363" s="15"/>
      <c r="M363" s="15"/>
      <c r="N363" s="51"/>
      <c r="O363" s="15"/>
      <c r="P363" s="15"/>
    </row>
    <row r="364" ht="20.25" customHeight="1" spans="1:16">
      <c r="A364" s="122"/>
      <c r="B364" s="15"/>
      <c r="C364" s="15"/>
      <c r="D364" s="15"/>
      <c r="E364" s="15"/>
      <c r="F364" s="15"/>
      <c r="G364" s="15"/>
      <c r="H364" s="15"/>
      <c r="I364" s="15"/>
      <c r="J364" s="51"/>
      <c r="K364" s="15"/>
      <c r="L364" s="15"/>
      <c r="M364" s="15"/>
      <c r="N364" s="51"/>
      <c r="O364" s="15"/>
      <c r="P364" s="15"/>
    </row>
    <row r="365" ht="20.25" customHeight="1" spans="1:16">
      <c r="A365" s="122"/>
      <c r="B365" s="15"/>
      <c r="C365" s="15"/>
      <c r="D365" s="15"/>
      <c r="E365" s="15"/>
      <c r="F365" s="15"/>
      <c r="G365" s="15"/>
      <c r="H365" s="15"/>
      <c r="I365" s="15"/>
      <c r="J365" s="51"/>
      <c r="K365" s="15"/>
      <c r="L365" s="15"/>
      <c r="M365" s="15"/>
      <c r="N365" s="51"/>
      <c r="O365" s="15"/>
      <c r="P365" s="15"/>
    </row>
    <row r="366" ht="20.25" customHeight="1" spans="1:16">
      <c r="A366" s="122"/>
      <c r="B366" s="15"/>
      <c r="C366" s="15"/>
      <c r="D366" s="15"/>
      <c r="E366" s="15"/>
      <c r="F366" s="15"/>
      <c r="G366" s="15"/>
      <c r="H366" s="15"/>
      <c r="I366" s="15"/>
      <c r="J366" s="51"/>
      <c r="K366" s="15"/>
      <c r="L366" s="15"/>
      <c r="M366" s="15"/>
      <c r="N366" s="51"/>
      <c r="O366" s="15"/>
      <c r="P366" s="15"/>
    </row>
    <row r="367" ht="20.25" customHeight="1" spans="1:16">
      <c r="A367" s="122"/>
      <c r="B367" s="15"/>
      <c r="C367" s="15"/>
      <c r="D367" s="15"/>
      <c r="E367" s="15"/>
      <c r="F367" s="15"/>
      <c r="G367" s="15"/>
      <c r="H367" s="15"/>
      <c r="I367" s="15"/>
      <c r="J367" s="51"/>
      <c r="K367" s="15"/>
      <c r="L367" s="15"/>
      <c r="M367" s="15"/>
      <c r="N367" s="51"/>
      <c r="O367" s="15"/>
      <c r="P367" s="15"/>
    </row>
    <row r="368" ht="20.25" customHeight="1" spans="1:16">
      <c r="A368" s="122"/>
      <c r="B368" s="15"/>
      <c r="C368" s="15"/>
      <c r="D368" s="15"/>
      <c r="E368" s="15"/>
      <c r="F368" s="15"/>
      <c r="G368" s="15"/>
      <c r="H368" s="15"/>
      <c r="I368" s="15"/>
      <c r="J368" s="51"/>
      <c r="K368" s="15"/>
      <c r="L368" s="15"/>
      <c r="M368" s="15"/>
      <c r="N368" s="51"/>
      <c r="O368" s="15"/>
      <c r="P368" s="15"/>
    </row>
    <row r="369" ht="20.25" customHeight="1" spans="1:16">
      <c r="A369" s="122"/>
      <c r="B369" s="15"/>
      <c r="C369" s="15"/>
      <c r="D369" s="15"/>
      <c r="E369" s="15"/>
      <c r="F369" s="15"/>
      <c r="G369" s="15"/>
      <c r="H369" s="15"/>
      <c r="I369" s="15"/>
      <c r="J369" s="51"/>
      <c r="K369" s="15"/>
      <c r="L369" s="15"/>
      <c r="M369" s="15"/>
      <c r="N369" s="51"/>
      <c r="O369" s="15"/>
      <c r="P369" s="15"/>
    </row>
    <row r="370" ht="20.25" customHeight="1" spans="1:16">
      <c r="A370" s="122"/>
      <c r="B370" s="15"/>
      <c r="C370" s="15"/>
      <c r="D370" s="15"/>
      <c r="E370" s="15"/>
      <c r="F370" s="15"/>
      <c r="G370" s="15"/>
      <c r="H370" s="15"/>
      <c r="I370" s="15"/>
      <c r="J370" s="51"/>
      <c r="K370" s="15"/>
      <c r="L370" s="15"/>
      <c r="M370" s="15"/>
      <c r="N370" s="51"/>
      <c r="O370" s="15"/>
      <c r="P370" s="15"/>
    </row>
    <row r="371" ht="20.25" customHeight="1" spans="1:16">
      <c r="A371" s="122"/>
      <c r="B371" s="15"/>
      <c r="C371" s="15"/>
      <c r="D371" s="15"/>
      <c r="E371" s="15"/>
      <c r="F371" s="15"/>
      <c r="G371" s="15"/>
      <c r="H371" s="15"/>
      <c r="I371" s="15"/>
      <c r="J371" s="51"/>
      <c r="K371" s="15"/>
      <c r="L371" s="15"/>
      <c r="M371" s="15"/>
      <c r="N371" s="51"/>
      <c r="O371" s="15"/>
      <c r="P371" s="15"/>
    </row>
    <row r="372" ht="20.25" customHeight="1" spans="1:16">
      <c r="A372" s="122"/>
      <c r="B372" s="15"/>
      <c r="C372" s="15"/>
      <c r="D372" s="15"/>
      <c r="E372" s="15"/>
      <c r="F372" s="15"/>
      <c r="G372" s="15"/>
      <c r="H372" s="15"/>
      <c r="I372" s="15"/>
      <c r="J372" s="51"/>
      <c r="K372" s="15"/>
      <c r="L372" s="15"/>
      <c r="M372" s="15"/>
      <c r="N372" s="51"/>
      <c r="O372" s="15"/>
      <c r="P372" s="15"/>
    </row>
    <row r="373" ht="20.25" customHeight="1" spans="1:16">
      <c r="A373" s="122"/>
      <c r="B373" s="15"/>
      <c r="C373" s="15"/>
      <c r="D373" s="15"/>
      <c r="E373" s="15"/>
      <c r="F373" s="15"/>
      <c r="G373" s="15"/>
      <c r="H373" s="15"/>
      <c r="I373" s="15"/>
      <c r="J373" s="51"/>
      <c r="K373" s="15"/>
      <c r="L373" s="15"/>
      <c r="M373" s="15"/>
      <c r="N373" s="51"/>
      <c r="O373" s="15"/>
      <c r="P373" s="15"/>
    </row>
    <row r="374" ht="20.25" customHeight="1" spans="1:16">
      <c r="A374" s="122"/>
      <c r="B374" s="15"/>
      <c r="C374" s="15"/>
      <c r="D374" s="15"/>
      <c r="E374" s="15"/>
      <c r="F374" s="15"/>
      <c r="G374" s="15"/>
      <c r="H374" s="15"/>
      <c r="I374" s="15"/>
      <c r="J374" s="51"/>
      <c r="K374" s="15"/>
      <c r="L374" s="15"/>
      <c r="M374" s="15"/>
      <c r="N374" s="51"/>
      <c r="O374" s="15"/>
      <c r="P374" s="15"/>
    </row>
    <row r="375" ht="20.25" customHeight="1" spans="1:16">
      <c r="A375" s="122"/>
      <c r="B375" s="15"/>
      <c r="C375" s="15"/>
      <c r="D375" s="15"/>
      <c r="E375" s="15"/>
      <c r="F375" s="15"/>
      <c r="G375" s="15"/>
      <c r="H375" s="15"/>
      <c r="I375" s="15"/>
      <c r="J375" s="51"/>
      <c r="K375" s="15"/>
      <c r="L375" s="15"/>
      <c r="M375" s="15"/>
      <c r="N375" s="51"/>
      <c r="O375" s="15"/>
      <c r="P375" s="15"/>
    </row>
    <row r="376" ht="20.25" customHeight="1" spans="1:16">
      <c r="A376" s="122"/>
      <c r="B376" s="15"/>
      <c r="C376" s="15"/>
      <c r="D376" s="15"/>
      <c r="E376" s="15"/>
      <c r="F376" s="15"/>
      <c r="G376" s="15"/>
      <c r="H376" s="15"/>
      <c r="I376" s="15"/>
      <c r="J376" s="51"/>
      <c r="K376" s="15"/>
      <c r="L376" s="15"/>
      <c r="M376" s="15"/>
      <c r="N376" s="51"/>
      <c r="O376" s="15"/>
      <c r="P376" s="15"/>
    </row>
    <row r="377" ht="20.25" customHeight="1" spans="1:16">
      <c r="A377" s="122"/>
      <c r="B377" s="15"/>
      <c r="C377" s="15"/>
      <c r="D377" s="15"/>
      <c r="E377" s="15"/>
      <c r="F377" s="15"/>
      <c r="G377" s="15"/>
      <c r="H377" s="15"/>
      <c r="I377" s="15"/>
      <c r="J377" s="51"/>
      <c r="K377" s="15"/>
      <c r="L377" s="15"/>
      <c r="M377" s="15"/>
      <c r="N377" s="51"/>
      <c r="O377" s="15"/>
      <c r="P377" s="15"/>
    </row>
    <row r="378" ht="20.25" customHeight="1" spans="1:16">
      <c r="A378" s="122"/>
      <c r="B378" s="15"/>
      <c r="C378" s="15"/>
      <c r="D378" s="15"/>
      <c r="E378" s="15"/>
      <c r="F378" s="15"/>
      <c r="G378" s="15"/>
      <c r="H378" s="15"/>
      <c r="I378" s="15"/>
      <c r="J378" s="51"/>
      <c r="K378" s="15"/>
      <c r="L378" s="15"/>
      <c r="M378" s="15"/>
      <c r="N378" s="51"/>
      <c r="O378" s="15"/>
      <c r="P378" s="15"/>
    </row>
    <row r="379" ht="20.25" customHeight="1" spans="1:16">
      <c r="A379" s="122"/>
      <c r="B379" s="15"/>
      <c r="C379" s="15"/>
      <c r="D379" s="15"/>
      <c r="E379" s="15"/>
      <c r="F379" s="15"/>
      <c r="G379" s="15"/>
      <c r="H379" s="15"/>
      <c r="I379" s="15"/>
      <c r="J379" s="51"/>
      <c r="K379" s="15"/>
      <c r="L379" s="15"/>
      <c r="M379" s="15"/>
      <c r="N379" s="51"/>
      <c r="O379" s="15"/>
      <c r="P379" s="15"/>
    </row>
    <row r="380" ht="20.25" customHeight="1" spans="1:16">
      <c r="A380" s="122"/>
      <c r="B380" s="15"/>
      <c r="C380" s="15"/>
      <c r="D380" s="15"/>
      <c r="E380" s="15"/>
      <c r="F380" s="15"/>
      <c r="G380" s="15"/>
      <c r="H380" s="15"/>
      <c r="I380" s="15"/>
      <c r="J380" s="51"/>
      <c r="K380" s="15"/>
      <c r="L380" s="15"/>
      <c r="M380" s="15"/>
      <c r="N380" s="51"/>
      <c r="O380" s="15"/>
      <c r="P380" s="15"/>
    </row>
    <row r="381" ht="20.25" customHeight="1" spans="1:16">
      <c r="A381" s="122"/>
      <c r="B381" s="15"/>
      <c r="C381" s="15"/>
      <c r="D381" s="15"/>
      <c r="E381" s="15"/>
      <c r="F381" s="15"/>
      <c r="G381" s="15"/>
      <c r="H381" s="15"/>
      <c r="I381" s="15"/>
      <c r="J381" s="51"/>
      <c r="K381" s="15"/>
      <c r="L381" s="15"/>
      <c r="M381" s="15"/>
      <c r="N381" s="51"/>
      <c r="O381" s="15"/>
      <c r="P381" s="15"/>
    </row>
    <row r="382" ht="20.25" customHeight="1" spans="1:16">
      <c r="A382" s="122"/>
      <c r="B382" s="15"/>
      <c r="C382" s="15"/>
      <c r="D382" s="15"/>
      <c r="E382" s="15"/>
      <c r="F382" s="15"/>
      <c r="G382" s="15"/>
      <c r="H382" s="15"/>
      <c r="I382" s="15"/>
      <c r="J382" s="51"/>
      <c r="K382" s="15"/>
      <c r="L382" s="15"/>
      <c r="M382" s="15"/>
      <c r="N382" s="51"/>
      <c r="O382" s="15"/>
      <c r="P382" s="15"/>
    </row>
    <row r="383" ht="20.25" customHeight="1" spans="1:16">
      <c r="A383" s="122"/>
      <c r="B383" s="15"/>
      <c r="C383" s="15"/>
      <c r="D383" s="15"/>
      <c r="E383" s="15"/>
      <c r="F383" s="15"/>
      <c r="G383" s="15"/>
      <c r="H383" s="15"/>
      <c r="I383" s="15"/>
      <c r="J383" s="51"/>
      <c r="K383" s="15"/>
      <c r="L383" s="15"/>
      <c r="M383" s="15"/>
      <c r="N383" s="51"/>
      <c r="O383" s="15"/>
      <c r="P383" s="15"/>
    </row>
    <row r="384" ht="20.25" customHeight="1" spans="1:16">
      <c r="A384" s="122"/>
      <c r="B384" s="15"/>
      <c r="C384" s="15"/>
      <c r="D384" s="15"/>
      <c r="E384" s="15"/>
      <c r="F384" s="15"/>
      <c r="G384" s="15"/>
      <c r="H384" s="15"/>
      <c r="I384" s="15"/>
      <c r="J384" s="51"/>
      <c r="K384" s="15"/>
      <c r="L384" s="15"/>
      <c r="M384" s="15"/>
      <c r="N384" s="51"/>
      <c r="O384" s="15"/>
      <c r="P384" s="15"/>
    </row>
    <row r="385" ht="20.25" customHeight="1" spans="1:16">
      <c r="A385" s="122"/>
      <c r="B385" s="15"/>
      <c r="C385" s="15"/>
      <c r="D385" s="15"/>
      <c r="E385" s="15"/>
      <c r="F385" s="15"/>
      <c r="G385" s="15"/>
      <c r="H385" s="15"/>
      <c r="I385" s="15"/>
      <c r="J385" s="51"/>
      <c r="K385" s="15"/>
      <c r="L385" s="15"/>
      <c r="M385" s="15"/>
      <c r="N385" s="51"/>
      <c r="O385" s="15"/>
      <c r="P385" s="15"/>
    </row>
    <row r="386" ht="20.25" customHeight="1" spans="1:16">
      <c r="A386" s="122"/>
      <c r="B386" s="15"/>
      <c r="C386" s="15"/>
      <c r="D386" s="15"/>
      <c r="E386" s="15"/>
      <c r="F386" s="15"/>
      <c r="G386" s="15"/>
      <c r="H386" s="15"/>
      <c r="I386" s="15"/>
      <c r="J386" s="51"/>
      <c r="K386" s="15"/>
      <c r="L386" s="15"/>
      <c r="M386" s="15"/>
      <c r="N386" s="51"/>
      <c r="O386" s="15"/>
      <c r="P386" s="15"/>
    </row>
    <row r="387" ht="20.25" customHeight="1" spans="1:16">
      <c r="A387" s="122"/>
      <c r="B387" s="15"/>
      <c r="C387" s="15"/>
      <c r="D387" s="15"/>
      <c r="E387" s="15"/>
      <c r="F387" s="15"/>
      <c r="G387" s="15"/>
      <c r="H387" s="15"/>
      <c r="I387" s="15"/>
      <c r="J387" s="51"/>
      <c r="K387" s="15"/>
      <c r="L387" s="15"/>
      <c r="M387" s="15"/>
      <c r="N387" s="51"/>
      <c r="O387" s="15"/>
      <c r="P387" s="15"/>
    </row>
    <row r="388" ht="20.25" customHeight="1" spans="1:16">
      <c r="A388" s="122"/>
      <c r="B388" s="15"/>
      <c r="C388" s="15"/>
      <c r="D388" s="15"/>
      <c r="E388" s="15"/>
      <c r="F388" s="15"/>
      <c r="G388" s="15"/>
      <c r="H388" s="15"/>
      <c r="I388" s="15"/>
      <c r="J388" s="51"/>
      <c r="K388" s="15"/>
      <c r="L388" s="15"/>
      <c r="M388" s="15"/>
      <c r="N388" s="51"/>
      <c r="O388" s="15"/>
      <c r="P388" s="15"/>
    </row>
    <row r="389" ht="20.25" customHeight="1" spans="1:16">
      <c r="A389" s="122"/>
      <c r="B389" s="15"/>
      <c r="C389" s="15"/>
      <c r="D389" s="15"/>
      <c r="E389" s="15"/>
      <c r="F389" s="15"/>
      <c r="G389" s="15"/>
      <c r="H389" s="15"/>
      <c r="I389" s="15"/>
      <c r="J389" s="51"/>
      <c r="K389" s="15"/>
      <c r="L389" s="15"/>
      <c r="M389" s="15"/>
      <c r="N389" s="51"/>
      <c r="O389" s="15"/>
      <c r="P389" s="15"/>
    </row>
    <row r="390" ht="20.25" customHeight="1" spans="1:16">
      <c r="A390" s="122"/>
      <c r="B390" s="15"/>
      <c r="C390" s="15"/>
      <c r="D390" s="15"/>
      <c r="E390" s="15"/>
      <c r="F390" s="15"/>
      <c r="G390" s="15"/>
      <c r="H390" s="15"/>
      <c r="I390" s="15"/>
      <c r="J390" s="51"/>
      <c r="K390" s="15"/>
      <c r="L390" s="15"/>
      <c r="M390" s="15"/>
      <c r="N390" s="51"/>
      <c r="O390" s="15"/>
      <c r="P390" s="15"/>
    </row>
    <row r="391" ht="20.25" customHeight="1" spans="1:16">
      <c r="A391" s="122"/>
      <c r="B391" s="15"/>
      <c r="C391" s="15"/>
      <c r="D391" s="15"/>
      <c r="E391" s="15"/>
      <c r="F391" s="15"/>
      <c r="G391" s="15"/>
      <c r="H391" s="15"/>
      <c r="I391" s="15"/>
      <c r="J391" s="51"/>
      <c r="K391" s="15"/>
      <c r="L391" s="15"/>
      <c r="M391" s="15"/>
      <c r="N391" s="51"/>
      <c r="O391" s="15"/>
      <c r="P391" s="15"/>
    </row>
    <row r="392" ht="20.25" customHeight="1" spans="1:16">
      <c r="A392" s="122"/>
      <c r="B392" s="15"/>
      <c r="C392" s="15"/>
      <c r="D392" s="15"/>
      <c r="E392" s="15"/>
      <c r="F392" s="15"/>
      <c r="G392" s="15"/>
      <c r="H392" s="15"/>
      <c r="I392" s="15"/>
      <c r="J392" s="51"/>
      <c r="K392" s="15"/>
      <c r="L392" s="15"/>
      <c r="M392" s="15"/>
      <c r="N392" s="51"/>
      <c r="O392" s="15"/>
      <c r="P392" s="15"/>
    </row>
    <row r="393" ht="20.25" customHeight="1" spans="1:16">
      <c r="A393" s="122"/>
      <c r="B393" s="15"/>
      <c r="C393" s="15"/>
      <c r="D393" s="15"/>
      <c r="E393" s="15"/>
      <c r="F393" s="15"/>
      <c r="G393" s="15"/>
      <c r="H393" s="15"/>
      <c r="I393" s="15"/>
      <c r="J393" s="51"/>
      <c r="K393" s="15"/>
      <c r="L393" s="15"/>
      <c r="M393" s="15"/>
      <c r="N393" s="51"/>
      <c r="O393" s="15"/>
      <c r="P393" s="15"/>
    </row>
    <row r="394" ht="20.25" customHeight="1" spans="1:16">
      <c r="A394" s="122"/>
      <c r="B394" s="15"/>
      <c r="C394" s="15"/>
      <c r="D394" s="15"/>
      <c r="E394" s="15"/>
      <c r="F394" s="15"/>
      <c r="G394" s="15"/>
      <c r="H394" s="15"/>
      <c r="I394" s="15"/>
      <c r="J394" s="51"/>
      <c r="K394" s="15"/>
      <c r="L394" s="15"/>
      <c r="M394" s="15"/>
      <c r="N394" s="51"/>
      <c r="O394" s="15"/>
      <c r="P394" s="15"/>
    </row>
    <row r="395" ht="20.25" customHeight="1" spans="1:16">
      <c r="A395" s="122"/>
      <c r="B395" s="15"/>
      <c r="C395" s="15"/>
      <c r="D395" s="15"/>
      <c r="E395" s="15"/>
      <c r="F395" s="15"/>
      <c r="G395" s="15"/>
      <c r="H395" s="15"/>
      <c r="I395" s="15"/>
      <c r="J395" s="51"/>
      <c r="K395" s="15"/>
      <c r="L395" s="15"/>
      <c r="M395" s="15"/>
      <c r="N395" s="51"/>
      <c r="O395" s="15"/>
      <c r="P395" s="15"/>
    </row>
    <row r="396" ht="20.25" customHeight="1" spans="1:1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ht="20.25" customHeight="1" spans="1:1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ht="20.25" customHeight="1" spans="1:1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ht="20.25" customHeight="1" spans="1:1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ht="20.25" customHeight="1" spans="1:1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ht="20.25" customHeight="1" spans="1:1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ht="20.25" customHeight="1" spans="1:1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ht="20.25" customHeight="1" spans="1:1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ht="20.25" customHeight="1" spans="1:1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ht="20.25" customHeight="1" spans="1:1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ht="20.25" customHeight="1" spans="1:1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ht="20.25" customHeight="1" spans="1:1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ht="20.25" customHeight="1" spans="1:1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ht="20.25" customHeight="1" spans="1:1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ht="20.25" customHeight="1" spans="1:1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ht="20.25" customHeight="1" spans="1:1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ht="20.25" customHeight="1" spans="1:1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ht="20.25" customHeight="1" spans="1:1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ht="20.25" customHeight="1" spans="1:1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ht="20.25" customHeight="1" spans="1:1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ht="20.25" customHeight="1" spans="1: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ht="20.25" customHeight="1" spans="1:1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ht="20.25" customHeight="1" spans="1:1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ht="20.25" customHeight="1" spans="1:1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ht="20.25" customHeight="1" spans="1:1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ht="20.25" customHeight="1" spans="1:1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ht="20.25" customHeight="1" spans="1:1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ht="20.25" customHeight="1" spans="1:1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</row>
    <row r="424" ht="20.25" customHeight="1" spans="1:1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ht="20.25" customHeight="1" spans="1:1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ht="20.25" customHeight="1" spans="1:1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ht="20.25" customHeight="1" spans="1:1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ht="20.25" customHeight="1" spans="1:1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ht="20.25" customHeight="1" spans="1:1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ht="20.25" customHeight="1" spans="1:1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ht="20.25" customHeight="1" spans="1:1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ht="20.25" customHeight="1" spans="1:1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ht="20.25" customHeight="1" spans="1:1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ht="20.25" customHeight="1" spans="1:1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ht="20.25" customHeight="1" spans="1:1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ht="20.25" customHeight="1" spans="1:1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ht="20.25" customHeight="1" spans="1:1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ht="20.25" customHeight="1" spans="1:1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ht="20.25" customHeight="1" spans="1:1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ht="20.25" customHeight="1" spans="1:1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ht="20.25" customHeight="1" spans="1:1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ht="20.25" customHeight="1" spans="1:1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ht="20.25" customHeight="1" spans="1:1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ht="20.25" customHeight="1" spans="1:1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ht="20.25" customHeight="1" spans="1:1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ht="20.25" customHeight="1" spans="1:1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ht="20.25" customHeight="1" spans="1:1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</row>
    <row r="448" ht="20.25" customHeight="1" spans="1:1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ht="20.25" customHeight="1" spans="1:1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ht="20.25" customHeight="1" spans="1:1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ht="20.25" customHeight="1" spans="1:1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</row>
    <row r="452" ht="20.25" customHeight="1" spans="1:1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ht="20.25" customHeight="1" spans="1:1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ht="20.25" customHeight="1" spans="1:1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ht="20.25" customHeight="1" spans="1:1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</row>
    <row r="456" ht="20.25" customHeight="1" spans="1:1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ht="20.25" customHeight="1" spans="1:1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ht="20.25" customHeight="1" spans="1:1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ht="20.25" customHeight="1" spans="1:1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</row>
    <row r="460" ht="20.25" customHeight="1" spans="1:1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ht="20.25" customHeight="1" spans="1:1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ht="20.25" customHeight="1" spans="1:1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ht="20.25" customHeight="1" spans="1:1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</row>
    <row r="464" ht="20.25" customHeight="1" spans="1:1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ht="20.25" customHeight="1" spans="1:1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ht="20.25" customHeight="1" spans="1:1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ht="20.25" customHeight="1" spans="1:1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ht="20.25" customHeight="1" spans="1:1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ht="20.25" customHeight="1" spans="1:1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ht="20.25" customHeight="1" spans="1:1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ht="20.25" customHeight="1" spans="1:1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ht="20.25" customHeight="1" spans="1:1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ht="20.25" customHeight="1" spans="1:1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ht="20.25" customHeight="1" spans="1:1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ht="20.25" customHeight="1" spans="1:1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ht="20.25" customHeight="1" spans="1:1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ht="20.25" customHeight="1" spans="1:1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ht="20.25" customHeight="1" spans="1:1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ht="20.25" customHeight="1" spans="1:1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ht="20.25" customHeight="1" spans="1:1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ht="20.25" customHeight="1" spans="1:1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ht="20.25" customHeight="1" spans="1:1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ht="20.25" customHeight="1" spans="1:1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ht="20.25" customHeight="1" spans="1:1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ht="20.25" customHeight="1" spans="1:1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</row>
    <row r="486" ht="20.25" customHeight="1" spans="1:1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ht="20.25" customHeight="1" spans="1:1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ht="20.25" customHeight="1" spans="1:1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ht="20.25" customHeight="1" spans="1:1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ht="20.25" customHeight="1" spans="1:1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ht="20.25" customHeight="1" spans="1:1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</row>
    <row r="492" ht="20.25" customHeight="1" spans="1:1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ht="20.25" customHeight="1" spans="1:1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ht="20.25" customHeight="1" spans="1:1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ht="20.25" customHeight="1" spans="1:1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ht="20.25" customHeight="1" spans="1:1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ht="20.25" customHeight="1" spans="1:1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ht="20.25" customHeight="1" spans="1:1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ht="20.25" customHeight="1" spans="1:1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ht="20.25" customHeight="1" spans="1:1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ht="20.25" customHeight="1" spans="1:1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ht="20.25" customHeight="1" spans="1:1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ht="20.25" customHeight="1" spans="1:1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ht="20.25" customHeight="1" spans="1:1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ht="20.25" customHeight="1" spans="1:1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ht="20.25" customHeight="1" spans="1:1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ht="20.25" customHeight="1" spans="1:1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ht="20.25" customHeight="1" spans="1:1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ht="20.25" customHeight="1" spans="1:1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ht="20.25" customHeight="1" spans="1:1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ht="20.25" customHeight="1" spans="1:1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ht="20.25" customHeight="1" spans="1:1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ht="20.25" customHeight="1" spans="1:1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ht="20.25" customHeight="1" spans="1:1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ht="20.25" customHeight="1" spans="1:1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ht="20.25" customHeight="1" spans="1: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ht="20.25" customHeight="1" spans="1:1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ht="20.25" customHeight="1" spans="1:1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ht="20.25" customHeight="1" spans="1:1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ht="20.25" customHeight="1" spans="1:1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ht="20.25" customHeight="1" spans="1:1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ht="20.25" customHeight="1" spans="1:1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ht="20.25" customHeight="1" spans="1:1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ht="20.25" customHeight="1" spans="1:1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ht="20.25" customHeight="1" spans="1:1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ht="20.25" customHeight="1" spans="1:1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ht="20.25" customHeight="1" spans="1:1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ht="20.25" customHeight="1" spans="1:1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ht="20.25" customHeight="1" spans="1:1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ht="20.25" customHeight="1" spans="1:1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ht="20.25" customHeight="1" spans="1:1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ht="20.25" customHeight="1" spans="1:1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ht="20.25" customHeight="1" spans="1:1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ht="20.25" customHeight="1" spans="1:1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ht="20.25" customHeight="1" spans="1:1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ht="20.25" customHeight="1" spans="1:1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ht="20.25" customHeight="1" spans="1:1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ht="20.25" customHeight="1" spans="1:1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ht="20.25" customHeight="1" spans="1:1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ht="20.25" customHeight="1" spans="1:1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ht="20.25" customHeight="1" spans="1:1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ht="20.25" customHeight="1" spans="1:1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ht="20.25" customHeight="1" spans="1:1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ht="20.25" customHeight="1" spans="1:1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ht="20.25" customHeight="1" spans="1:1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</row>
    <row r="546" ht="20.25" customHeight="1" spans="1:1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ht="20.25" customHeight="1" spans="1:1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ht="20.25" customHeight="1" spans="1:1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ht="20.25" customHeight="1" spans="1:1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ht="20.25" customHeight="1" spans="1:1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ht="20.25" customHeight="1" spans="1:1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ht="20.25" customHeight="1" spans="1:1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ht="20.25" customHeight="1" spans="1:1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ht="20.25" customHeight="1" spans="1:1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ht="20.25" customHeight="1" spans="1:1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ht="20.25" customHeight="1" spans="1:1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ht="20.25" customHeight="1" spans="1:1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ht="20.25" customHeight="1" spans="1:1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ht="20.25" customHeight="1" spans="1:1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ht="20.25" customHeight="1" spans="1:1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ht="20.25" customHeight="1" spans="1:1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ht="20.25" customHeight="1" spans="1:1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ht="20.25" customHeight="1" spans="1:1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ht="20.25" customHeight="1" spans="1:1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ht="20.25" customHeight="1" spans="1:1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</row>
    <row r="566" ht="20.25" customHeight="1" spans="1:1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ht="20.25" customHeight="1" spans="1:1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ht="20.25" customHeight="1" spans="1:1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ht="20.25" customHeight="1" spans="1:1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ht="20.25" customHeight="1" spans="1:1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ht="20.25" customHeight="1" spans="1:1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ht="20.25" customHeight="1" spans="1:1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ht="20.25" customHeight="1" spans="1:1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ht="20.25" customHeight="1" spans="1:1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ht="20.25" customHeight="1" spans="1:1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ht="20.25" customHeight="1" spans="1:1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ht="20.25" customHeight="1" spans="1:1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ht="20.25" customHeight="1" spans="1:1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ht="20.25" customHeight="1" spans="1:1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ht="20.25" customHeight="1" spans="1:1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ht="20.25" customHeight="1" spans="1:1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ht="20.25" customHeight="1" spans="1:1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ht="20.25" customHeight="1" spans="1:1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ht="20.25" customHeight="1" spans="1:1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ht="20.25" customHeight="1" spans="1:1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ht="20.25" customHeight="1" spans="1:1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ht="20.25" customHeight="1" spans="1:1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ht="20.25" customHeight="1" spans="1:1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ht="20.25" customHeight="1" spans="1:1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ht="20.25" customHeight="1" spans="1:1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ht="20.25" customHeight="1" spans="1:1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ht="20.25" customHeight="1" spans="1:1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ht="20.25" customHeight="1" spans="1:1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ht="20.25" customHeight="1" spans="1:1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ht="20.25" customHeight="1" spans="1:1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ht="20.25" customHeight="1" spans="1:1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ht="20.25" customHeight="1" spans="1:1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ht="20.25" customHeight="1" spans="1:1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ht="20.25" customHeight="1" spans="1:1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ht="20.25" customHeight="1" spans="1:1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ht="20.25" customHeight="1" spans="1:1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ht="20.25" customHeight="1" spans="1:1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ht="20.25" customHeight="1" spans="1:1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ht="20.25" customHeight="1" spans="1:1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ht="20.25" customHeight="1" spans="1:1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ht="20.25" customHeight="1" spans="1:1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ht="20.25" customHeight="1" spans="1:1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ht="20.25" customHeight="1" spans="1:1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ht="20.25" customHeight="1" spans="1:1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ht="20.25" customHeight="1" spans="1:1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ht="20.25" customHeight="1" spans="1:1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ht="20.25" customHeight="1" spans="1:1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ht="20.25" customHeight="1" spans="1:1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ht="20.25" customHeight="1" spans="1:1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ht="20.25" customHeight="1" spans="1:1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ht="20.25" customHeight="1" spans="1: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ht="20.25" customHeight="1" spans="1:1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ht="20.25" customHeight="1" spans="1:1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ht="20.25" customHeight="1" spans="1:1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ht="20.25" customHeight="1" spans="1:1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ht="20.25" customHeight="1" spans="1:1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ht="20.25" customHeight="1" spans="1:1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ht="20.25" customHeight="1" spans="1:1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ht="20.25" customHeight="1" spans="1:1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ht="20.25" customHeight="1" spans="1:1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ht="20.25" customHeight="1" spans="1:1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ht="20.25" customHeight="1" spans="1:1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ht="20.25" customHeight="1" spans="1:1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ht="20.25" customHeight="1" spans="1:1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ht="20.25" customHeight="1" spans="1:1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ht="20.25" customHeight="1" spans="1:1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ht="20.25" customHeight="1" spans="1:1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ht="20.25" customHeight="1" spans="1:1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ht="20.25" customHeight="1" spans="1:1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ht="20.25" customHeight="1" spans="1:1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</row>
    <row r="636" ht="20.25" customHeight="1" spans="1:1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ht="20.25" customHeight="1" spans="1:1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</row>
    <row r="638" ht="20.25" customHeight="1" spans="1:1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ht="20.25" customHeight="1" spans="1:1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ht="20.25" customHeight="1" spans="1:1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ht="20.25" customHeight="1" spans="1:1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</row>
    <row r="642" ht="20.25" customHeight="1" spans="1:1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ht="20.25" customHeight="1" spans="1:1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</row>
    <row r="644" ht="20.25" customHeight="1" spans="1:1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ht="20.25" customHeight="1" spans="1:1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ht="20.25" customHeight="1" spans="1:1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ht="20.25" customHeight="1" spans="1:1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</row>
    <row r="648" ht="20.25" customHeight="1" spans="1:1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ht="20.25" customHeight="1" spans="1:1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ht="20.25" customHeight="1" spans="1:1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ht="20.25" customHeight="1" spans="1:1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</row>
    <row r="652" ht="20.25" customHeight="1" spans="1:1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ht="20.25" customHeight="1" spans="1:1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ht="20.25" customHeight="1" spans="1:1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ht="20.25" customHeight="1" spans="1:1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</row>
    <row r="656" ht="20.25" customHeight="1" spans="1:1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ht="20.25" customHeight="1" spans="1:1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ht="20.25" customHeight="1" spans="1:1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ht="20.25" customHeight="1" spans="1:1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</row>
    <row r="660" ht="20.25" customHeight="1" spans="1:1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ht="20.25" customHeight="1" spans="1:1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ht="20.25" customHeight="1" spans="1:1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ht="20.25" customHeight="1" spans="1:1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</row>
    <row r="664" ht="20.25" customHeight="1" spans="1:1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ht="20.25" customHeight="1" spans="1:1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ht="20.25" customHeight="1" spans="1:1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ht="20.25" customHeight="1" spans="1:1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</row>
    <row r="668" ht="20.25" customHeight="1" spans="1:1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ht="20.25" customHeight="1" spans="1:1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ht="20.25" customHeight="1" spans="1:1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ht="20.25" customHeight="1" spans="1:1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</row>
    <row r="672" ht="20.25" customHeight="1" spans="1:1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ht="20.25" customHeight="1" spans="1:1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ht="20.25" customHeight="1" spans="1:1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ht="20.25" customHeight="1" spans="1:1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</row>
    <row r="676" ht="20.25" customHeight="1" spans="1:1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ht="20.25" customHeight="1" spans="1:1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ht="20.25" customHeight="1" spans="1:1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ht="20.25" customHeight="1" spans="1:1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</row>
    <row r="680" ht="20.25" customHeight="1" spans="1:1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ht="20.25" customHeight="1" spans="1:1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ht="20.25" customHeight="1" spans="1:1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ht="20.25" customHeight="1" spans="1:1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</row>
    <row r="684" ht="20.25" customHeight="1" spans="1:1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ht="20.25" customHeight="1" spans="1:1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ht="20.25" customHeight="1" spans="1:1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ht="20.25" customHeight="1" spans="1:1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</row>
    <row r="688" ht="20.25" customHeight="1" spans="1:1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ht="20.25" customHeight="1" spans="1:1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ht="20.25" customHeight="1" spans="1:1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ht="20.25" customHeight="1" spans="1:1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ht="20.25" customHeight="1" spans="1:1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ht="20.25" customHeight="1" spans="1:1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ht="20.25" customHeight="1" spans="1:1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ht="20.25" customHeight="1" spans="1:1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ht="20.25" customHeight="1" spans="1:1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ht="20.25" customHeight="1" spans="1:1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ht="20.25" customHeight="1" spans="1:1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ht="20.25" customHeight="1" spans="1:1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</row>
    <row r="700" ht="20.25" customHeight="1" spans="1:1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ht="20.25" customHeight="1" spans="1:1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</row>
    <row r="702" ht="20.25" customHeight="1" spans="1:1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ht="20.25" customHeight="1" spans="1:1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</row>
    <row r="704" ht="20.25" customHeight="1" spans="1:1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ht="20.25" customHeight="1" spans="1:1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</row>
    <row r="706" ht="20.25" customHeight="1" spans="1:1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ht="20.25" customHeight="1" spans="1:1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</row>
    <row r="708" ht="20.25" customHeight="1" spans="1:1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ht="20.25" customHeight="1" spans="1:1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</row>
    <row r="710" ht="20.25" customHeight="1" spans="1:1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ht="20.25" customHeight="1" spans="1:1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</row>
    <row r="712" ht="20.25" customHeight="1" spans="1:1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ht="20.25" customHeight="1" spans="1:1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</row>
    <row r="714" ht="20.25" customHeight="1" spans="1:1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ht="20.25" customHeight="1" spans="1:1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</row>
    <row r="716" ht="20.25" customHeight="1" spans="1: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ht="20.25" customHeight="1" spans="1:1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ht="20.25" customHeight="1" spans="1:1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ht="20.25" customHeight="1" spans="1:1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</row>
    <row r="720" ht="20.25" customHeight="1" spans="1:1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ht="20.25" customHeight="1" spans="1:1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</row>
    <row r="722" ht="20.25" customHeight="1" spans="1:1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ht="20.25" customHeight="1" spans="1:1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</row>
    <row r="724" ht="20.25" customHeight="1" spans="1:1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ht="20.25" customHeight="1" spans="1:1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ht="20.25" customHeight="1" spans="1:1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ht="20.25" customHeight="1" spans="1:1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</row>
    <row r="728" ht="20.25" customHeight="1" spans="1:1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ht="20.25" customHeight="1" spans="1:1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</row>
    <row r="730" ht="20.25" customHeight="1" spans="1:1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ht="20.25" customHeight="1" spans="1:1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ht="20.25" customHeight="1" spans="1:1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ht="20.25" customHeight="1" spans="1:1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</row>
    <row r="734" ht="20.25" customHeight="1" spans="1:1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ht="20.25" customHeight="1" spans="1:1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</row>
    <row r="736" ht="20.25" customHeight="1" spans="1:1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ht="20.25" customHeight="1" spans="1:1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</row>
    <row r="738" ht="20.25" customHeight="1" spans="1:1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ht="20.25" customHeight="1" spans="1:1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ht="20.25" customHeight="1" spans="1:1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ht="20.25" customHeight="1" spans="1:1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</row>
    <row r="742" ht="20.25" customHeight="1" spans="1:1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ht="20.25" customHeight="1" spans="1:1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ht="20.25" customHeight="1" spans="1:1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ht="20.25" customHeight="1" spans="1:1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ht="20.25" customHeight="1" spans="1:1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ht="20.25" customHeight="1" spans="1:1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ht="20.25" customHeight="1" spans="1:1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ht="20.25" customHeight="1" spans="1:1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ht="20.25" customHeight="1" spans="1:1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ht="20.25" customHeight="1" spans="1:1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ht="20.25" customHeight="1" spans="1:1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ht="20.25" customHeight="1" spans="1:1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ht="20.25" customHeight="1" spans="1:1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ht="20.25" customHeight="1" spans="1:1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ht="20.25" customHeight="1" spans="1:1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ht="20.25" customHeight="1" spans="1:1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ht="20.25" customHeight="1" spans="1:1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ht="20.25" customHeight="1" spans="1:1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ht="20.25" customHeight="1" spans="1:1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ht="20.25" customHeight="1" spans="1:1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ht="20.25" customHeight="1" spans="1:1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ht="20.25" customHeight="1" spans="1:1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ht="20.25" customHeight="1" spans="1:1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ht="20.25" customHeight="1" spans="1:1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ht="20.25" customHeight="1" spans="1:1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ht="20.25" customHeight="1" spans="1:1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ht="20.25" customHeight="1" spans="1:1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ht="20.25" customHeight="1" spans="1:1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ht="20.25" customHeight="1" spans="1:1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ht="20.25" customHeight="1" spans="1:1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ht="20.25" customHeight="1" spans="1:1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ht="20.25" customHeight="1" spans="1:1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ht="20.25" customHeight="1" spans="1:1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ht="20.25" customHeight="1" spans="1:1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ht="20.25" customHeight="1" spans="1:1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ht="20.25" customHeight="1" spans="1:1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ht="20.25" customHeight="1" spans="1:1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ht="20.25" customHeight="1" spans="1:1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ht="20.25" customHeight="1" spans="1:1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ht="20.25" customHeight="1" spans="1:1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ht="20.25" customHeight="1" spans="1:1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ht="20.25" customHeight="1" spans="1:1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ht="20.25" customHeight="1" spans="1:1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ht="20.25" customHeight="1" spans="1:1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ht="20.25" customHeight="1" spans="1:1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ht="20.25" customHeight="1" spans="1:1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ht="20.25" customHeight="1" spans="1:1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ht="20.25" customHeight="1" spans="1:1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</row>
    <row r="790" ht="20.25" customHeight="1" spans="1:1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ht="20.25" customHeight="1" spans="1:1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ht="20.25" customHeight="1" spans="1:1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ht="20.25" customHeight="1" spans="1:1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ht="20.25" customHeight="1" spans="1:1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ht="20.25" customHeight="1" spans="1:1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ht="20.25" customHeight="1" spans="1:1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ht="20.25" customHeight="1" spans="1:1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</row>
    <row r="798" ht="20.25" customHeight="1" spans="1:1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ht="20.25" customHeight="1" spans="1:1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ht="20.25" customHeight="1" spans="1:1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ht="20.25" customHeight="1" spans="1:1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</row>
    <row r="802" ht="20.25" customHeight="1" spans="1:1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ht="20.25" customHeight="1" spans="1:1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</row>
    <row r="804" ht="20.25" customHeight="1" spans="1:1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ht="20.25" customHeight="1" spans="1:1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</row>
    <row r="806" ht="20.25" customHeight="1" spans="1:1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ht="20.25" customHeight="1" spans="1:1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</row>
    <row r="808" ht="20.25" customHeight="1" spans="1:1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ht="20.25" customHeight="1" spans="1:1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</row>
    <row r="810" ht="20.25" customHeight="1" spans="1:1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ht="20.25" customHeight="1" spans="1:1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</row>
    <row r="812" ht="20.25" customHeight="1" spans="1:1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ht="20.25" customHeight="1" spans="1:1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ht="20.25" customHeight="1" spans="1:1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ht="20.25" customHeight="1" spans="1:1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ht="20.25" customHeight="1" spans="1: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ht="20.25" customHeight="1" spans="1:1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ht="20.25" customHeight="1" spans="1:1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ht="20.25" customHeight="1" spans="1:1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ht="20.25" customHeight="1" spans="1:1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ht="20.25" customHeight="1" spans="1:1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ht="20.25" customHeight="1" spans="1:1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ht="20.25" customHeight="1" spans="1:1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ht="20.25" customHeight="1" spans="1:1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ht="20.25" customHeight="1" spans="1:1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ht="20.25" customHeight="1" spans="1:1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ht="20.25" customHeight="1" spans="1:1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ht="20.25" customHeight="1" spans="1:1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ht="20.25" customHeight="1" spans="1:1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ht="20.25" customHeight="1" spans="1:1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ht="20.25" customHeight="1" spans="1:1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</row>
    <row r="832" ht="20.25" customHeight="1" spans="1:1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ht="20.25" customHeight="1" spans="1:1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ht="20.25" customHeight="1" spans="1:1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ht="20.25" customHeight="1" spans="1:1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ht="20.25" customHeight="1" spans="1:1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ht="20.25" customHeight="1" spans="1:1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ht="20.25" customHeight="1" spans="1:1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ht="20.25" customHeight="1" spans="1:1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</row>
    <row r="840" ht="20.25" customHeight="1" spans="1:1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ht="20.25" customHeight="1" spans="1:1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</row>
    <row r="842" ht="20.25" customHeight="1" spans="1:1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ht="20.25" customHeight="1" spans="1:1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</row>
    <row r="844" ht="20.25" customHeight="1" spans="1:1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ht="20.25" customHeight="1" spans="1:1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</row>
    <row r="846" ht="20.25" customHeight="1" spans="1:1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ht="20.25" customHeight="1" spans="1:1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</row>
    <row r="848" ht="20.25" customHeight="1" spans="1:1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ht="20.25" customHeight="1" spans="1:1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</row>
    <row r="850" ht="20.25" customHeight="1" spans="1:1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ht="20.25" customHeight="1" spans="1:1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ht="20.25" customHeight="1" spans="1:1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ht="20.25" customHeight="1" spans="1:1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ht="20.25" customHeight="1" spans="1:1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ht="20.25" customHeight="1" spans="1:1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ht="20.25" customHeight="1" spans="1:1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ht="20.25" customHeight="1" spans="1:1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ht="20.25" customHeight="1" spans="1:1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ht="20.25" customHeight="1" spans="1:1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ht="20.25" customHeight="1" spans="1:1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ht="20.25" customHeight="1" spans="1:1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ht="20.25" customHeight="1" spans="1:1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ht="20.25" customHeight="1" spans="1:1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ht="20.25" customHeight="1" spans="1:1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ht="20.25" customHeight="1" spans="1:1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ht="20.25" customHeight="1" spans="1:1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ht="20.25" customHeight="1" spans="1:1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</row>
    <row r="868" ht="20.25" customHeight="1" spans="1:1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ht="20.25" customHeight="1" spans="1:1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ht="20.25" customHeight="1" spans="1:1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ht="20.25" customHeight="1" spans="1:1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</row>
    <row r="872" ht="20.25" customHeight="1" spans="1:1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ht="20.25" customHeight="1" spans="1:1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ht="20.25" customHeight="1" spans="1:1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ht="20.25" customHeight="1" spans="1:1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ht="20.25" customHeight="1" spans="1:1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ht="20.25" customHeight="1" spans="1:1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ht="20.25" customHeight="1" spans="1:1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ht="20.25" customHeight="1" spans="1:1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ht="20.25" customHeight="1" spans="1:1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ht="20.25" customHeight="1" spans="1:1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ht="20.25" customHeight="1" spans="1:1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ht="20.25" customHeight="1" spans="1:1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ht="20.25" customHeight="1" spans="1:1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ht="20.25" customHeight="1" spans="1:1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ht="20.25" customHeight="1" spans="1:1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ht="20.25" customHeight="1" spans="1:1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</row>
    <row r="888" ht="20.25" customHeight="1" spans="1:1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ht="20.25" customHeight="1" spans="1:1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ht="20.25" customHeight="1" spans="1:1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ht="20.25" customHeight="1" spans="1:1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ht="20.25" customHeight="1" spans="1:1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ht="20.25" customHeight="1" spans="1:1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ht="20.25" customHeight="1" spans="1:1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ht="20.25" customHeight="1" spans="1:1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ht="20.25" customHeight="1" spans="1:1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ht="20.25" customHeight="1" spans="1:1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ht="20.25" customHeight="1" spans="1:1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ht="20.25" customHeight="1" spans="1:1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ht="20.25" customHeight="1" spans="1:1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ht="20.25" customHeight="1" spans="1:1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ht="20.25" customHeight="1" spans="1:1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ht="20.25" customHeight="1" spans="1:1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</row>
    <row r="904" ht="20.25" customHeight="1" spans="1:1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ht="20.25" customHeight="1" spans="1:1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ht="20.25" customHeight="1" spans="1:1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ht="20.25" customHeight="1" spans="1:1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</row>
    <row r="908" ht="20.25" customHeight="1" spans="1:1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ht="20.25" customHeight="1" spans="1:1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ht="20.25" customHeight="1" spans="1:1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ht="20.25" customHeight="1" spans="1:1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ht="20.25" customHeight="1" spans="1:1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ht="20.25" customHeight="1" spans="1:1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ht="20.25" customHeight="1" spans="1:1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ht="20.25" customHeight="1" spans="1:1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ht="20.25" customHeight="1" spans="1: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ht="20.25" customHeight="1" spans="1:1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ht="20.25" customHeight="1" spans="1:1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ht="20.25" customHeight="1" spans="1:1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ht="20.25" customHeight="1" spans="1:1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ht="20.25" customHeight="1" spans="1:1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ht="20.25" customHeight="1" spans="1:1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ht="20.25" customHeight="1" spans="1:1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ht="20.25" customHeight="1" spans="1:1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ht="20.25" customHeight="1" spans="1:1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ht="20.25" customHeight="1" spans="1:1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ht="20.25" customHeight="1" spans="1:1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ht="20.25" customHeight="1" spans="1:1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ht="20.25" customHeight="1" spans="1:1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</row>
    <row r="930" ht="20.25" customHeight="1" spans="1:1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ht="20.25" customHeight="1" spans="1:1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</row>
    <row r="932" ht="20.25" customHeight="1" spans="1:1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ht="20.25" customHeight="1" spans="1:1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</row>
    <row r="934" ht="20.25" customHeight="1" spans="1:1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ht="20.25" customHeight="1" spans="1:1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</row>
    <row r="936" ht="20.25" customHeight="1" spans="1:1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ht="20.25" customHeight="1" spans="1:1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</row>
    <row r="938" ht="20.25" customHeight="1" spans="1:1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ht="20.25" customHeight="1" spans="1:1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</row>
    <row r="940" ht="20.25" customHeight="1" spans="1:1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ht="20.25" customHeight="1" spans="1:1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</row>
    <row r="942" ht="20.25" customHeight="1" spans="1:1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ht="20.25" customHeight="1" spans="1:1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</row>
    <row r="944" ht="20.25" customHeight="1" spans="1:1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ht="20.25" customHeight="1" spans="1:1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</row>
    <row r="946" ht="20.25" customHeight="1" spans="1:1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ht="20.25" customHeight="1" spans="1:1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</row>
    <row r="948" ht="20.25" customHeight="1" spans="1:1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ht="20.25" customHeight="1" spans="1:1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</row>
    <row r="950" ht="20.25" customHeight="1" spans="1:1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ht="20.25" customHeight="1" spans="1:1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</row>
    <row r="952" ht="20.25" customHeight="1" spans="1:1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ht="20.25" customHeight="1" spans="1:1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</row>
    <row r="954" ht="20.25" customHeight="1" spans="1:1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ht="20.25" customHeight="1" spans="1:1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</row>
    <row r="956" ht="20.25" customHeight="1" spans="1:1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ht="20.25" customHeight="1" spans="1:1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</row>
    <row r="958" ht="20.25" customHeight="1" spans="1:1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ht="20.25" customHeight="1" spans="1:1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</row>
    <row r="960" ht="20.25" customHeight="1" spans="1:1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ht="20.25" customHeight="1" spans="1:1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</row>
    <row r="962" ht="20.25" customHeight="1" spans="1:1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ht="20.25" customHeight="1" spans="1:1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ht="20.25" customHeight="1" spans="1:1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ht="20.25" customHeight="1" spans="1:1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</row>
    <row r="966" ht="20.25" customHeight="1" spans="1:1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ht="20.25" customHeight="1" spans="1:1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ht="20.25" customHeight="1" spans="1:1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ht="20.25" customHeight="1" spans="1:1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</row>
    <row r="970" ht="20.25" customHeight="1" spans="1:1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ht="20.25" customHeight="1" spans="1:1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ht="20.25" customHeight="1" spans="1:1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ht="20.25" customHeight="1" spans="1:1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</row>
    <row r="974" ht="20.25" customHeight="1" spans="1:1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ht="20.25" customHeight="1" spans="1:1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ht="20.25" customHeight="1" spans="1:1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ht="20.25" customHeight="1" spans="1:1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ht="20.25" customHeight="1" spans="1:1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ht="20.25" customHeight="1" spans="1:1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ht="20.25" customHeight="1" spans="1:1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ht="20.25" customHeight="1" spans="1:1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</row>
    <row r="982" ht="20.25" customHeight="1" spans="1:1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ht="20.25" customHeight="1" spans="1:1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ht="20.25" customHeight="1" spans="1:1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ht="20.25" customHeight="1" spans="1:1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ht="20.25" customHeight="1" spans="1:1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ht="20.25" customHeight="1" spans="1:1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ht="20.25" customHeight="1" spans="1:1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ht="20.25" customHeight="1" spans="1:1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</row>
    <row r="990" ht="20.25" customHeight="1" spans="1:1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ht="20.25" customHeight="1" spans="1:1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ht="20.25" customHeight="1" spans="1:1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ht="20.25" customHeight="1" spans="1:1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ht="20.25" customHeight="1" spans="1:1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ht="20.25" customHeight="1" spans="1:1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ht="20.25" customHeight="1" spans="1:1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ht="20.25" customHeight="1" spans="1:1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ht="20.25" customHeight="1" spans="1:1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ht="20.25" customHeight="1" spans="1:1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ht="20.25" customHeight="1" spans="1:1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  <row r="1001" ht="20.25" customHeight="1" spans="1:16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</row>
    <row r="1002" ht="20.25" customHeight="1" spans="1:16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</row>
  </sheetData>
  <mergeCells count="18">
    <mergeCell ref="A1:P1"/>
    <mergeCell ref="A3:P3"/>
    <mergeCell ref="A24:P24"/>
    <mergeCell ref="A26:P26"/>
    <mergeCell ref="A48:P48"/>
    <mergeCell ref="A50:P50"/>
    <mergeCell ref="A68:P68"/>
    <mergeCell ref="A70:P70"/>
    <mergeCell ref="A92:P92"/>
    <mergeCell ref="A94:P94"/>
    <mergeCell ref="A112:P112"/>
    <mergeCell ref="A114:P114"/>
    <mergeCell ref="A136:P136"/>
    <mergeCell ref="A138:P138"/>
    <mergeCell ref="A156:P156"/>
    <mergeCell ref="A158:P158"/>
    <mergeCell ref="A179:P179"/>
    <mergeCell ref="A181:P181"/>
  </mergeCells>
  <printOptions horizontalCentered="1" verticalCentered="1"/>
  <pageMargins left="0.25" right="0.25" top="0.75" bottom="0.75" header="0" footer="0"/>
  <pageSetup paperSize="14" scale="95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9"/>
  <sheetViews>
    <sheetView workbookViewId="0">
      <selection activeCell="A1" sqref="A1:M1"/>
    </sheetView>
  </sheetViews>
  <sheetFormatPr defaultColWidth="14.4259259259259" defaultRowHeight="15" customHeight="1"/>
  <cols>
    <col min="1" max="1" width="24.712962962963" customWidth="1"/>
    <col min="2" max="4" width="9.57407407407407" customWidth="1"/>
    <col min="5" max="10" width="9" customWidth="1"/>
    <col min="11" max="13" width="9.28703703703704" customWidth="1"/>
    <col min="14" max="14" width="9" customWidth="1"/>
  </cols>
  <sheetData>
    <row r="1" ht="23.25" customHeight="1" spans="1:14">
      <c r="A1" s="120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5"/>
    </row>
    <row r="2" customHeight="1" spans="1:14">
      <c r="A2" s="94"/>
      <c r="B2" s="94"/>
      <c r="C2" s="94"/>
      <c r="D2" s="94"/>
      <c r="E2" s="94"/>
      <c r="F2" s="94"/>
      <c r="G2" s="94"/>
      <c r="H2" s="94"/>
      <c r="I2" s="94"/>
      <c r="J2" s="94"/>
      <c r="K2" s="95" t="s">
        <v>52</v>
      </c>
      <c r="N2" s="15"/>
    </row>
    <row r="3" customHeight="1" spans="1:14">
      <c r="A3" s="15"/>
      <c r="B3" s="94"/>
      <c r="C3" s="94"/>
      <c r="D3" s="94"/>
      <c r="E3" s="94"/>
      <c r="F3" s="94"/>
      <c r="G3" s="94"/>
      <c r="H3" s="94"/>
      <c r="I3" s="94"/>
      <c r="J3" s="94"/>
      <c r="N3" s="15"/>
    </row>
    <row r="4" ht="20.25" customHeight="1" spans="1:14">
      <c r="A4" s="96" t="s">
        <v>53</v>
      </c>
      <c r="J4" s="94"/>
      <c r="N4" s="15"/>
    </row>
    <row r="5" ht="20.25" customHeight="1" spans="1:14">
      <c r="A5" s="96" t="s">
        <v>54</v>
      </c>
      <c r="J5" s="91"/>
      <c r="K5" s="91"/>
      <c r="L5" s="91"/>
      <c r="M5" s="91"/>
      <c r="N5" s="15"/>
    </row>
    <row r="6" ht="21" customHeight="1" spans="1:14">
      <c r="A6" s="91" t="s">
        <v>55</v>
      </c>
      <c r="J6" s="91"/>
      <c r="K6" s="91"/>
      <c r="L6" s="91"/>
      <c r="M6" s="91"/>
      <c r="N6" s="15"/>
    </row>
    <row r="7" ht="30" customHeight="1" spans="1:14">
      <c r="A7" s="98"/>
      <c r="B7" s="99" t="s">
        <v>56</v>
      </c>
      <c r="C7" s="86" t="s">
        <v>57</v>
      </c>
      <c r="D7" s="86" t="s">
        <v>58</v>
      </c>
      <c r="E7" s="86" t="s">
        <v>59</v>
      </c>
      <c r="F7" s="86" t="s">
        <v>60</v>
      </c>
      <c r="G7" s="86" t="s">
        <v>61</v>
      </c>
      <c r="H7" s="86" t="s">
        <v>62</v>
      </c>
      <c r="I7" s="86" t="s">
        <v>63</v>
      </c>
      <c r="J7" s="86" t="s">
        <v>64</v>
      </c>
      <c r="K7" s="86" t="s">
        <v>65</v>
      </c>
      <c r="L7" s="86" t="s">
        <v>66</v>
      </c>
      <c r="M7" s="86" t="s">
        <v>67</v>
      </c>
      <c r="N7" s="15"/>
    </row>
    <row r="8" ht="18.75" customHeight="1" spans="1:14">
      <c r="A8" s="90" t="s">
        <v>68</v>
      </c>
      <c r="B8" s="100">
        <v>1996.5</v>
      </c>
      <c r="C8" s="100">
        <v>2100.56</v>
      </c>
      <c r="D8" s="101">
        <v>2305.05</v>
      </c>
      <c r="E8" s="100">
        <v>2398.22</v>
      </c>
      <c r="F8" s="100">
        <v>2631.75</v>
      </c>
      <c r="G8" s="101">
        <v>2816.88</v>
      </c>
      <c r="H8" s="100">
        <v>2994.75</v>
      </c>
      <c r="I8" s="100">
        <v>3222.23</v>
      </c>
      <c r="J8" s="101">
        <v>3643.31</v>
      </c>
      <c r="K8" s="100">
        <v>4276.14</v>
      </c>
      <c r="L8" s="102">
        <v>4656.08</v>
      </c>
      <c r="M8" s="102">
        <v>4910.18</v>
      </c>
      <c r="N8" s="15"/>
    </row>
    <row r="9" ht="18.75" customHeight="1" spans="1:14">
      <c r="A9" s="90" t="s">
        <v>18</v>
      </c>
      <c r="B9" s="100">
        <v>1703.68</v>
      </c>
      <c r="C9" s="100">
        <v>1815</v>
      </c>
      <c r="D9" s="101">
        <v>1948.1</v>
      </c>
      <c r="E9" s="100">
        <v>2107.82</v>
      </c>
      <c r="F9" s="100">
        <v>2251.81</v>
      </c>
      <c r="G9" s="101">
        <v>2365.55</v>
      </c>
      <c r="H9" s="100">
        <v>2429.68</v>
      </c>
      <c r="I9" s="100">
        <v>2594.24</v>
      </c>
      <c r="J9" s="101">
        <v>2914.89</v>
      </c>
      <c r="K9" s="100">
        <v>3395.26</v>
      </c>
      <c r="L9" s="102">
        <v>3683.24</v>
      </c>
      <c r="M9" s="102">
        <v>3875.63</v>
      </c>
      <c r="N9" s="15"/>
    </row>
    <row r="10" ht="18.75" customHeight="1" spans="1:14">
      <c r="A10" s="90" t="s">
        <v>19</v>
      </c>
      <c r="B10" s="100">
        <v>1396.34</v>
      </c>
      <c r="C10" s="100">
        <v>1490.72</v>
      </c>
      <c r="D10" s="101">
        <v>1588.73</v>
      </c>
      <c r="E10" s="100">
        <v>1726.67</v>
      </c>
      <c r="F10" s="100">
        <v>1822.26</v>
      </c>
      <c r="G10" s="101">
        <v>1995.29</v>
      </c>
      <c r="H10" s="100">
        <v>2038.85</v>
      </c>
      <c r="I10" s="100">
        <v>2147.75</v>
      </c>
      <c r="J10" s="101">
        <v>2369.18</v>
      </c>
      <c r="K10" s="100">
        <v>2694.67</v>
      </c>
      <c r="L10" s="102">
        <v>2889.48</v>
      </c>
      <c r="M10" s="102">
        <v>3020.16</v>
      </c>
      <c r="N10" s="15"/>
    </row>
    <row r="11" ht="18.75" customHeight="1" spans="1:14">
      <c r="A11" s="90" t="s">
        <v>20</v>
      </c>
      <c r="B11" s="100">
        <v>1157.97</v>
      </c>
      <c r="C11" s="100">
        <v>1277.76</v>
      </c>
      <c r="D11" s="101">
        <v>1347.94</v>
      </c>
      <c r="E11" s="100">
        <v>1392.71</v>
      </c>
      <c r="F11" s="100">
        <v>1522.18</v>
      </c>
      <c r="G11" s="101">
        <v>1595.99</v>
      </c>
      <c r="H11" s="100">
        <v>1628.66</v>
      </c>
      <c r="I11" s="100">
        <v>1748.45</v>
      </c>
      <c r="J11" s="101">
        <v>1911.8</v>
      </c>
      <c r="K11" s="100">
        <v>2340.14</v>
      </c>
      <c r="L11" s="102">
        <v>2543.42</v>
      </c>
      <c r="M11" s="102">
        <v>2665.63</v>
      </c>
      <c r="N11" s="15"/>
    </row>
    <row r="12" ht="18.75" customHeight="1" spans="1:14">
      <c r="A12" s="90" t="s">
        <v>21</v>
      </c>
      <c r="B12" s="100">
        <v>993.41</v>
      </c>
      <c r="C12" s="100">
        <v>1035.76</v>
      </c>
      <c r="D12" s="101">
        <v>1082.95</v>
      </c>
      <c r="E12" s="100">
        <v>1114.41</v>
      </c>
      <c r="F12" s="100">
        <v>1205.16</v>
      </c>
      <c r="G12" s="101">
        <v>1353.99</v>
      </c>
      <c r="H12" s="100">
        <v>1375.77</v>
      </c>
      <c r="I12" s="100">
        <v>1458.05</v>
      </c>
      <c r="J12" s="101">
        <v>1639.55</v>
      </c>
      <c r="K12" s="100">
        <v>1886.39</v>
      </c>
      <c r="L12" s="102">
        <v>2035.22</v>
      </c>
      <c r="M12" s="102">
        <v>2123.55</v>
      </c>
      <c r="N12" s="15"/>
    </row>
    <row r="13" ht="18.75" customHeight="1" spans="1:14">
      <c r="A13" s="90" t="s">
        <v>22</v>
      </c>
      <c r="B13" s="100">
        <v>832.48</v>
      </c>
      <c r="C13" s="100">
        <v>879.67</v>
      </c>
      <c r="D13" s="101">
        <v>907.5</v>
      </c>
      <c r="E13" s="100">
        <v>928.07</v>
      </c>
      <c r="F13" s="100">
        <v>982.52</v>
      </c>
      <c r="G13" s="101">
        <v>1023.66</v>
      </c>
      <c r="H13" s="100">
        <v>1036.97</v>
      </c>
      <c r="I13" s="100">
        <v>1087.79</v>
      </c>
      <c r="J13" s="101">
        <v>1203.95</v>
      </c>
      <c r="K13" s="100">
        <v>1353.99</v>
      </c>
      <c r="L13" s="102">
        <v>1444.74</v>
      </c>
      <c r="M13" s="102">
        <v>1497.98</v>
      </c>
      <c r="N13" s="15"/>
    </row>
    <row r="14" ht="18.75" customHeight="1" spans="1:14">
      <c r="A14" s="90" t="s">
        <v>23</v>
      </c>
      <c r="B14" s="100">
        <v>2296.58</v>
      </c>
      <c r="C14" s="100">
        <v>2429.68</v>
      </c>
      <c r="D14" s="101">
        <v>2563.99</v>
      </c>
      <c r="E14" s="100">
        <v>2706.77</v>
      </c>
      <c r="F14" s="100">
        <v>2752.75</v>
      </c>
      <c r="G14" s="101">
        <v>2888.27</v>
      </c>
      <c r="H14" s="100">
        <v>3131.48</v>
      </c>
      <c r="I14" s="100">
        <v>3494.48</v>
      </c>
      <c r="J14" s="101">
        <v>4115.21</v>
      </c>
      <c r="K14" s="100">
        <v>5043.28</v>
      </c>
      <c r="L14" s="102">
        <v>5599.88</v>
      </c>
      <c r="M14" s="102">
        <v>5970.14</v>
      </c>
      <c r="N14" s="15"/>
    </row>
    <row r="15" ht="18.75" customHeight="1" spans="1:14">
      <c r="A15" s="90" t="s">
        <v>24</v>
      </c>
      <c r="B15" s="100">
        <v>2115.08</v>
      </c>
      <c r="C15" s="100">
        <v>2248.18</v>
      </c>
      <c r="D15" s="101">
        <v>2382.49</v>
      </c>
      <c r="E15" s="100">
        <v>2525.27</v>
      </c>
      <c r="F15" s="100">
        <v>2571.25</v>
      </c>
      <c r="G15" s="101">
        <v>2706.77</v>
      </c>
      <c r="H15" s="100">
        <v>2949.98</v>
      </c>
      <c r="I15" s="100">
        <v>3312.98</v>
      </c>
      <c r="J15" s="101">
        <v>3933.71</v>
      </c>
      <c r="K15" s="100">
        <v>4861.78</v>
      </c>
      <c r="L15" s="102">
        <v>5418.38</v>
      </c>
      <c r="M15" s="102">
        <v>5788.64</v>
      </c>
      <c r="N15" s="15"/>
    </row>
    <row r="16" ht="18.75" customHeight="1" spans="1:14">
      <c r="A16" s="90" t="s">
        <v>69</v>
      </c>
      <c r="B16" s="100">
        <v>3495.69</v>
      </c>
      <c r="C16" s="100">
        <v>3632.42</v>
      </c>
      <c r="D16" s="101">
        <v>3840.54</v>
      </c>
      <c r="E16" s="100">
        <v>3959.12</v>
      </c>
      <c r="F16" s="100">
        <v>4126.1</v>
      </c>
      <c r="G16" s="101">
        <v>4411.66</v>
      </c>
      <c r="H16" s="100">
        <v>4668.18</v>
      </c>
      <c r="I16" s="100">
        <v>5210.26</v>
      </c>
      <c r="J16" s="101">
        <v>5567.21</v>
      </c>
      <c r="K16" s="103">
        <v>6874.01</v>
      </c>
      <c r="L16" s="102">
        <v>7658.09</v>
      </c>
      <c r="M16" s="102">
        <v>8180.81</v>
      </c>
      <c r="N16" s="15"/>
    </row>
    <row r="17" ht="18.75" customHeight="1" spans="1:14">
      <c r="A17" s="90" t="s">
        <v>27</v>
      </c>
      <c r="B17" s="100">
        <v>4245.89</v>
      </c>
      <c r="C17" s="100">
        <v>4363.26</v>
      </c>
      <c r="D17" s="101">
        <v>4550.81</v>
      </c>
      <c r="E17" s="100">
        <v>4964.63</v>
      </c>
      <c r="F17" s="100">
        <v>5120.72</v>
      </c>
      <c r="G17" s="101">
        <v>5682.16</v>
      </c>
      <c r="H17" s="100">
        <v>6148.01</v>
      </c>
      <c r="I17" s="100">
        <v>6688.88</v>
      </c>
      <c r="J17" s="101">
        <v>7808.13</v>
      </c>
      <c r="K17" s="104">
        <v>9146.39</v>
      </c>
      <c r="L17" s="102">
        <v>9949.83</v>
      </c>
      <c r="M17" s="102">
        <v>10431.41</v>
      </c>
      <c r="N17" s="15"/>
    </row>
    <row r="18" ht="18.75" customHeight="1" spans="1:14">
      <c r="A18" s="105" t="s">
        <v>70</v>
      </c>
      <c r="B18" s="100">
        <v>7885.57</v>
      </c>
      <c r="C18" s="100">
        <v>8131.2</v>
      </c>
      <c r="D18" s="101">
        <v>8338.11</v>
      </c>
      <c r="E18" s="100">
        <v>8569.22</v>
      </c>
      <c r="F18" s="100">
        <v>8830.58</v>
      </c>
      <c r="G18" s="101">
        <v>9422.27</v>
      </c>
      <c r="H18" s="100">
        <v>9736.87</v>
      </c>
      <c r="I18" s="100">
        <v>10413.26</v>
      </c>
      <c r="J18" s="101">
        <v>11678.92</v>
      </c>
      <c r="K18" s="104">
        <v>13771.01</v>
      </c>
      <c r="L18" s="102">
        <v>15026.99</v>
      </c>
      <c r="M18" s="102">
        <v>9256.5</v>
      </c>
      <c r="N18" s="15"/>
    </row>
    <row r="19" ht="18.75" customHeight="1" spans="1:14">
      <c r="A19" s="90" t="s">
        <v>71</v>
      </c>
      <c r="B19" s="100">
        <v>955.9</v>
      </c>
      <c r="C19" s="100">
        <v>975.26</v>
      </c>
      <c r="D19" s="101">
        <v>1045.44</v>
      </c>
      <c r="E19" s="100">
        <v>1159.18</v>
      </c>
      <c r="F19" s="100">
        <v>1245.09</v>
      </c>
      <c r="G19" s="101">
        <v>1320.11</v>
      </c>
      <c r="H19" s="100">
        <v>1433.85</v>
      </c>
      <c r="I19" s="100">
        <v>1481.04</v>
      </c>
      <c r="J19" s="101">
        <v>1655.28</v>
      </c>
      <c r="K19" s="104">
        <v>1894.86</v>
      </c>
      <c r="L19" s="102">
        <v>2037.64</v>
      </c>
      <c r="M19" s="102">
        <v>2122.34</v>
      </c>
      <c r="N19" s="15"/>
    </row>
    <row r="20" ht="18.75" customHeight="1" spans="1:14">
      <c r="A20" s="90" t="s">
        <v>72</v>
      </c>
      <c r="B20" s="100">
        <v>2670.47</v>
      </c>
      <c r="C20" s="100">
        <v>2750.33</v>
      </c>
      <c r="D20" s="101">
        <v>2784.21</v>
      </c>
      <c r="E20" s="100">
        <v>2891.9</v>
      </c>
      <c r="F20" s="100">
        <v>2986.28</v>
      </c>
      <c r="G20" s="101">
        <v>3214.97</v>
      </c>
      <c r="H20" s="100">
        <v>3321.45</v>
      </c>
      <c r="I20" s="100">
        <v>3553.77</v>
      </c>
      <c r="J20" s="101">
        <v>3989.37</v>
      </c>
      <c r="K20" s="104">
        <v>4812.17</v>
      </c>
      <c r="L20" s="102">
        <v>5305.85</v>
      </c>
      <c r="M20" s="102">
        <v>5603.51</v>
      </c>
      <c r="N20" s="15"/>
    </row>
    <row r="21" ht="18.75" customHeight="1" spans="1:14">
      <c r="A21" s="90" t="s">
        <v>73</v>
      </c>
      <c r="B21" s="100">
        <v>1074.48</v>
      </c>
      <c r="C21" s="100">
        <v>1109.57</v>
      </c>
      <c r="D21" s="101">
        <v>1174.91</v>
      </c>
      <c r="E21" s="100">
        <v>1300.75</v>
      </c>
      <c r="F21" s="100">
        <v>1352.78</v>
      </c>
      <c r="G21" s="101">
        <v>1507.66</v>
      </c>
      <c r="H21" s="100">
        <v>1645.6</v>
      </c>
      <c r="I21" s="100">
        <v>1883.97</v>
      </c>
      <c r="J21" s="101">
        <v>2038.85</v>
      </c>
      <c r="K21" s="104">
        <v>2412.74</v>
      </c>
      <c r="L21" s="102">
        <v>2637.8</v>
      </c>
      <c r="M21" s="102">
        <v>2773.32</v>
      </c>
      <c r="N21" s="15"/>
    </row>
    <row r="22" ht="18.75" customHeight="1" spans="1:14">
      <c r="A22" s="90" t="s">
        <v>74</v>
      </c>
      <c r="B22" s="100">
        <v>1415.7</v>
      </c>
      <c r="C22" s="100">
        <v>1464.1</v>
      </c>
      <c r="D22" s="101">
        <v>1635.92</v>
      </c>
      <c r="E22" s="100">
        <v>1677.06</v>
      </c>
      <c r="F22" s="100">
        <v>1790.8</v>
      </c>
      <c r="G22" s="101">
        <v>2064.26</v>
      </c>
      <c r="H22" s="100">
        <v>2167.11</v>
      </c>
      <c r="I22" s="100">
        <v>2380.07</v>
      </c>
      <c r="J22" s="101">
        <v>2551.89</v>
      </c>
      <c r="K22" s="104">
        <v>3106.07</v>
      </c>
      <c r="L22" s="102">
        <v>3438.82</v>
      </c>
      <c r="M22" s="102">
        <v>3638.47</v>
      </c>
      <c r="N22" s="15"/>
    </row>
    <row r="23" ht="18.75" customHeight="1" spans="1:14">
      <c r="A23" s="15"/>
      <c r="B23" s="15"/>
      <c r="C23" s="15"/>
      <c r="D23" s="15" t="s">
        <v>75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ht="23.25" customHeight="1" spans="1:14">
      <c r="A24" s="120" t="s">
        <v>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5"/>
    </row>
    <row r="25" ht="18.75" customHeight="1" spans="1:14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5" t="s">
        <v>52</v>
      </c>
      <c r="N25" s="15"/>
    </row>
    <row r="26" ht="18.75" customHeight="1" spans="1:14">
      <c r="A26" s="15"/>
      <c r="B26" s="94"/>
      <c r="C26" s="94"/>
      <c r="D26" s="94"/>
      <c r="E26" s="94"/>
      <c r="F26" s="94"/>
      <c r="G26" s="94"/>
      <c r="H26" s="94"/>
      <c r="I26" s="94"/>
      <c r="J26" s="94"/>
      <c r="N26" s="15"/>
    </row>
    <row r="27" ht="23.25" customHeight="1" spans="1:14">
      <c r="A27" s="96" t="s">
        <v>53</v>
      </c>
      <c r="J27" s="15"/>
      <c r="N27" s="15"/>
    </row>
    <row r="28" ht="23.25" customHeight="1" spans="1:14">
      <c r="A28" s="96" t="s">
        <v>76</v>
      </c>
      <c r="K28" s="15"/>
      <c r="L28" s="15"/>
      <c r="M28" s="15"/>
      <c r="N28" s="15"/>
    </row>
    <row r="29" ht="21" customHeight="1" spans="1:14">
      <c r="A29" s="91" t="s">
        <v>55</v>
      </c>
      <c r="J29" s="91"/>
      <c r="K29" s="91"/>
      <c r="L29" s="91"/>
      <c r="M29" s="91"/>
      <c r="N29" s="15"/>
    </row>
    <row r="30" ht="26.25" customHeight="1" spans="1:14">
      <c r="A30" s="98"/>
      <c r="B30" s="99" t="s">
        <v>56</v>
      </c>
      <c r="C30" s="86" t="s">
        <v>57</v>
      </c>
      <c r="D30" s="86" t="s">
        <v>58</v>
      </c>
      <c r="E30" s="86" t="s">
        <v>59</v>
      </c>
      <c r="F30" s="86" t="s">
        <v>60</v>
      </c>
      <c r="G30" s="86" t="s">
        <v>61</v>
      </c>
      <c r="H30" s="86" t="s">
        <v>62</v>
      </c>
      <c r="I30" s="86" t="s">
        <v>63</v>
      </c>
      <c r="J30" s="86" t="s">
        <v>64</v>
      </c>
      <c r="K30" s="86" t="s">
        <v>65</v>
      </c>
      <c r="L30" s="86" t="s">
        <v>66</v>
      </c>
      <c r="M30" s="86" t="s">
        <v>67</v>
      </c>
      <c r="N30" s="15"/>
    </row>
    <row r="31" ht="18.75" customHeight="1" spans="1:14">
      <c r="A31" s="90" t="s">
        <v>68</v>
      </c>
      <c r="B31" s="100">
        <v>2614.755</v>
      </c>
      <c r="C31" s="100">
        <v>2659.03</v>
      </c>
      <c r="D31" s="101">
        <v>2848.78</v>
      </c>
      <c r="E31" s="100">
        <v>3080.275</v>
      </c>
      <c r="F31" s="100">
        <v>3320.625</v>
      </c>
      <c r="G31" s="101">
        <v>3463.57</v>
      </c>
      <c r="H31" s="100">
        <v>3631.815</v>
      </c>
      <c r="I31" s="100">
        <v>3984.75</v>
      </c>
      <c r="J31" s="101">
        <v>4364.25</v>
      </c>
      <c r="K31" s="100">
        <v>5313</v>
      </c>
      <c r="L31" s="102">
        <v>5882.25</v>
      </c>
      <c r="M31" s="102">
        <v>6261.75</v>
      </c>
      <c r="N31" s="15"/>
    </row>
    <row r="32" ht="18.75" customHeight="1" spans="1:14">
      <c r="A32" s="90" t="s">
        <v>18</v>
      </c>
      <c r="B32" s="100">
        <v>2142.91</v>
      </c>
      <c r="C32" s="100">
        <v>2306.095</v>
      </c>
      <c r="D32" s="101">
        <v>2503.435</v>
      </c>
      <c r="E32" s="100">
        <v>2678.005</v>
      </c>
      <c r="F32" s="100">
        <v>2837.395</v>
      </c>
      <c r="G32" s="101">
        <v>2974.015</v>
      </c>
      <c r="H32" s="100">
        <v>3143.525</v>
      </c>
      <c r="I32" s="100">
        <v>3591.335</v>
      </c>
      <c r="J32" s="101">
        <v>3696.33</v>
      </c>
      <c r="K32" s="100">
        <v>4554</v>
      </c>
      <c r="L32" s="102">
        <v>4952.475</v>
      </c>
      <c r="M32" s="102">
        <v>5240.895</v>
      </c>
      <c r="N32" s="15"/>
    </row>
    <row r="33" ht="18.75" customHeight="1" spans="1:14">
      <c r="A33" s="90" t="s">
        <v>19</v>
      </c>
      <c r="B33" s="100">
        <v>1669.8</v>
      </c>
      <c r="C33" s="100">
        <v>1810.215</v>
      </c>
      <c r="D33" s="101">
        <v>1973.4</v>
      </c>
      <c r="E33" s="100">
        <v>2121.405</v>
      </c>
      <c r="F33" s="100">
        <v>2322.54</v>
      </c>
      <c r="G33" s="101">
        <v>2466.75</v>
      </c>
      <c r="H33" s="100">
        <v>2564.155</v>
      </c>
      <c r="I33" s="100">
        <v>2785.53</v>
      </c>
      <c r="J33" s="101">
        <v>3036</v>
      </c>
      <c r="K33" s="100">
        <v>3700.125</v>
      </c>
      <c r="L33" s="102">
        <v>4098.6</v>
      </c>
      <c r="M33" s="102">
        <v>4364.25</v>
      </c>
      <c r="N33" s="15"/>
    </row>
    <row r="34" ht="18.75" customHeight="1" spans="1:14">
      <c r="A34" s="90" t="s">
        <v>20</v>
      </c>
      <c r="B34" s="100">
        <v>1386.44</v>
      </c>
      <c r="C34" s="100">
        <v>1512.94</v>
      </c>
      <c r="D34" s="101">
        <v>1654.62</v>
      </c>
      <c r="E34" s="100">
        <v>1787.445</v>
      </c>
      <c r="F34" s="100">
        <v>1926.595</v>
      </c>
      <c r="G34" s="101">
        <v>1992.375</v>
      </c>
      <c r="H34" s="100">
        <v>2094.84</v>
      </c>
      <c r="I34" s="100">
        <v>2244.11</v>
      </c>
      <c r="J34" s="101">
        <v>2466.75</v>
      </c>
      <c r="K34" s="100">
        <v>2971.485</v>
      </c>
      <c r="L34" s="102">
        <v>3273.82</v>
      </c>
      <c r="M34" s="102">
        <v>3476.22</v>
      </c>
      <c r="N34" s="15"/>
    </row>
    <row r="35" ht="18.75" customHeight="1" spans="1:14">
      <c r="A35" s="90" t="s">
        <v>21</v>
      </c>
      <c r="B35" s="100">
        <v>1315.6</v>
      </c>
      <c r="C35" s="100">
        <v>1330.78</v>
      </c>
      <c r="D35" s="101">
        <v>1387.705</v>
      </c>
      <c r="E35" s="100">
        <v>1429.45</v>
      </c>
      <c r="F35" s="100">
        <v>1535.71</v>
      </c>
      <c r="G35" s="101">
        <v>1610.345</v>
      </c>
      <c r="H35" s="100">
        <v>1641.97</v>
      </c>
      <c r="I35" s="100">
        <v>1748.23</v>
      </c>
      <c r="J35" s="101">
        <v>1979.725</v>
      </c>
      <c r="K35" s="100">
        <v>2279.53</v>
      </c>
      <c r="L35" s="102">
        <v>2457.895</v>
      </c>
      <c r="M35" s="102">
        <v>2578.07</v>
      </c>
      <c r="N35" s="15"/>
    </row>
    <row r="36" ht="18.75" customHeight="1" spans="1:14">
      <c r="A36" s="90" t="s">
        <v>22</v>
      </c>
      <c r="B36" s="100">
        <v>1003.145</v>
      </c>
      <c r="C36" s="100">
        <v>1012</v>
      </c>
      <c r="D36" s="101">
        <v>1046.155</v>
      </c>
      <c r="E36" s="100">
        <v>1070.19</v>
      </c>
      <c r="F36" s="100">
        <v>1132.175</v>
      </c>
      <c r="G36" s="101">
        <v>1184.04</v>
      </c>
      <c r="H36" s="100">
        <v>1203.015</v>
      </c>
      <c r="I36" s="100">
        <v>1349.755</v>
      </c>
      <c r="J36" s="101">
        <v>1495.23</v>
      </c>
      <c r="K36" s="100">
        <v>1679.92</v>
      </c>
      <c r="L36" s="102">
        <v>1789.975</v>
      </c>
      <c r="M36" s="102">
        <v>1863.345</v>
      </c>
      <c r="N36" s="15"/>
    </row>
    <row r="37" ht="18.75" customHeight="1" spans="1:14">
      <c r="A37" s="90" t="s">
        <v>23</v>
      </c>
      <c r="B37" s="100">
        <v>2958.835</v>
      </c>
      <c r="C37" s="100">
        <v>3199.185</v>
      </c>
      <c r="D37" s="101">
        <v>3345.925</v>
      </c>
      <c r="E37" s="100">
        <v>3692.535</v>
      </c>
      <c r="F37" s="100">
        <v>3934.15</v>
      </c>
      <c r="G37" s="101">
        <v>4182.09</v>
      </c>
      <c r="H37" s="100">
        <v>4419.91</v>
      </c>
      <c r="I37" s="100">
        <v>4956.27</v>
      </c>
      <c r="J37" s="101">
        <v>5505.28</v>
      </c>
      <c r="K37" s="100">
        <v>6903.105</v>
      </c>
      <c r="L37" s="102">
        <v>7608.975</v>
      </c>
      <c r="M37" s="102">
        <v>7972.03</v>
      </c>
      <c r="N37" s="15"/>
    </row>
    <row r="38" ht="18.75" customHeight="1" spans="1:14">
      <c r="A38" s="90" t="s">
        <v>24</v>
      </c>
      <c r="B38" s="100">
        <v>2769.085</v>
      </c>
      <c r="C38" s="100">
        <v>3009.435</v>
      </c>
      <c r="D38" s="101">
        <v>3156.175</v>
      </c>
      <c r="E38" s="100">
        <v>3502.785</v>
      </c>
      <c r="F38" s="100">
        <v>3676.09</v>
      </c>
      <c r="G38" s="101">
        <v>3992.34</v>
      </c>
      <c r="H38" s="100">
        <v>4230.16</v>
      </c>
      <c r="I38" s="100">
        <v>4766.52</v>
      </c>
      <c r="J38" s="101">
        <v>5315.53</v>
      </c>
      <c r="K38" s="100">
        <v>6713.355</v>
      </c>
      <c r="L38" s="102">
        <v>7419.225</v>
      </c>
      <c r="M38" s="102">
        <v>7782.28</v>
      </c>
      <c r="N38" s="15"/>
    </row>
    <row r="39" ht="18.75" customHeight="1" spans="1:14">
      <c r="A39" s="90" t="s">
        <v>69</v>
      </c>
      <c r="B39" s="100">
        <v>3784.88</v>
      </c>
      <c r="C39" s="100">
        <v>4040.41</v>
      </c>
      <c r="D39" s="101">
        <v>4369.31</v>
      </c>
      <c r="E39" s="100">
        <v>4609.66</v>
      </c>
      <c r="F39" s="100">
        <v>4666.585</v>
      </c>
      <c r="G39" s="101">
        <v>4981.57</v>
      </c>
      <c r="H39" s="100">
        <v>5261.135</v>
      </c>
      <c r="I39" s="100">
        <v>5884.78</v>
      </c>
      <c r="J39" s="101">
        <v>6355.36</v>
      </c>
      <c r="K39" s="100">
        <v>7805.05</v>
      </c>
      <c r="L39" s="102">
        <v>8674.105</v>
      </c>
      <c r="M39" s="102">
        <v>9254.74</v>
      </c>
      <c r="N39" s="15"/>
    </row>
    <row r="40" ht="18.75" customHeight="1" spans="1:14">
      <c r="A40" s="90" t="s">
        <v>27</v>
      </c>
      <c r="B40" s="100">
        <v>4796.88</v>
      </c>
      <c r="C40" s="100">
        <v>5042.29</v>
      </c>
      <c r="D40" s="101">
        <v>5268.725</v>
      </c>
      <c r="E40" s="100">
        <v>5644.43</v>
      </c>
      <c r="F40" s="100">
        <v>5939.175</v>
      </c>
      <c r="G40" s="101">
        <v>6586.855</v>
      </c>
      <c r="H40" s="100">
        <v>7302.845</v>
      </c>
      <c r="I40" s="100">
        <v>8044.135</v>
      </c>
      <c r="J40" s="101">
        <v>9224.38</v>
      </c>
      <c r="K40" s="100">
        <v>10894.18</v>
      </c>
      <c r="L40" s="102">
        <v>11896.06</v>
      </c>
      <c r="M40" s="102">
        <v>12498.2</v>
      </c>
      <c r="N40" s="15"/>
    </row>
    <row r="41" ht="18.75" customHeight="1" spans="1:14">
      <c r="A41" s="105" t="s">
        <v>70</v>
      </c>
      <c r="B41" s="100">
        <v>8677.9</v>
      </c>
      <c r="C41" s="100">
        <v>8970.115</v>
      </c>
      <c r="D41" s="101">
        <v>9220.585</v>
      </c>
      <c r="E41" s="100">
        <v>9497.62</v>
      </c>
      <c r="F41" s="100">
        <v>9807.545</v>
      </c>
      <c r="G41" s="101">
        <v>10489.38</v>
      </c>
      <c r="H41" s="100">
        <v>10857.495</v>
      </c>
      <c r="I41" s="100">
        <v>11650.65</v>
      </c>
      <c r="J41" s="101">
        <v>13095.28</v>
      </c>
      <c r="K41" s="100">
        <v>15577.21</v>
      </c>
      <c r="L41" s="102">
        <v>17067.38</v>
      </c>
      <c r="M41" s="102">
        <v>18103.415</v>
      </c>
      <c r="N41" s="15"/>
    </row>
    <row r="42" ht="18.75" customHeight="1" spans="1:14">
      <c r="A42" s="90" t="s">
        <v>71</v>
      </c>
      <c r="B42" s="100">
        <v>1110.67</v>
      </c>
      <c r="C42" s="100">
        <v>1133.44</v>
      </c>
      <c r="D42" s="101">
        <v>1214.4</v>
      </c>
      <c r="E42" s="100">
        <v>1345.96</v>
      </c>
      <c r="F42" s="100">
        <v>1445.895</v>
      </c>
      <c r="G42" s="101">
        <v>1534.445</v>
      </c>
      <c r="H42" s="100">
        <v>1666.005</v>
      </c>
      <c r="I42" s="100">
        <v>1720.4</v>
      </c>
      <c r="J42" s="101">
        <v>1922.8</v>
      </c>
      <c r="K42" s="100">
        <v>2199.835</v>
      </c>
      <c r="L42" s="102">
        <v>2365.55</v>
      </c>
      <c r="M42" s="102">
        <v>2466.75</v>
      </c>
      <c r="N42" s="15"/>
    </row>
    <row r="43" ht="18.75" customHeight="1" spans="1:14">
      <c r="A43" s="90" t="s">
        <v>72</v>
      </c>
      <c r="B43" s="100">
        <v>2914.56</v>
      </c>
      <c r="C43" s="100">
        <v>3004.375</v>
      </c>
      <c r="D43" s="101">
        <v>3046.12</v>
      </c>
      <c r="E43" s="100">
        <v>3163.765</v>
      </c>
      <c r="F43" s="100">
        <v>3270.025</v>
      </c>
      <c r="G43" s="101">
        <v>3520.495</v>
      </c>
      <c r="H43" s="100">
        <v>3638.14</v>
      </c>
      <c r="I43" s="100">
        <v>3893.67</v>
      </c>
      <c r="J43" s="101">
        <v>4368.045</v>
      </c>
      <c r="K43" s="100">
        <v>5269.99</v>
      </c>
      <c r="L43" s="102">
        <v>5810.145</v>
      </c>
      <c r="M43" s="102">
        <v>6135.25</v>
      </c>
      <c r="N43" s="15"/>
    </row>
    <row r="44" ht="18.75" customHeight="1" spans="1:14">
      <c r="A44" s="90" t="s">
        <v>73</v>
      </c>
      <c r="B44" s="100">
        <v>1259.94</v>
      </c>
      <c r="C44" s="100">
        <v>1313.07</v>
      </c>
      <c r="D44" s="101">
        <v>1405.415</v>
      </c>
      <c r="E44" s="100">
        <v>1482.58</v>
      </c>
      <c r="F44" s="100">
        <v>1538.24</v>
      </c>
      <c r="G44" s="101">
        <v>1724.195</v>
      </c>
      <c r="H44" s="100">
        <v>1845.635</v>
      </c>
      <c r="I44" s="100">
        <v>2149.235</v>
      </c>
      <c r="J44" s="101">
        <v>2331.395</v>
      </c>
      <c r="K44" s="100">
        <v>2860.165</v>
      </c>
      <c r="L44" s="102">
        <v>3176.415</v>
      </c>
      <c r="M44" s="102">
        <v>3367.43</v>
      </c>
      <c r="N44" s="15"/>
    </row>
    <row r="45" ht="18.75" customHeight="1" spans="1:14">
      <c r="A45" s="90" t="s">
        <v>74</v>
      </c>
      <c r="B45" s="100">
        <v>1591.37</v>
      </c>
      <c r="C45" s="100">
        <v>1669.8</v>
      </c>
      <c r="D45" s="101">
        <v>1781.12</v>
      </c>
      <c r="E45" s="100">
        <v>1844.37</v>
      </c>
      <c r="F45" s="100">
        <v>1944.305</v>
      </c>
      <c r="G45" s="101">
        <v>2264.35</v>
      </c>
      <c r="H45" s="100">
        <v>2416.15</v>
      </c>
      <c r="I45" s="100">
        <v>2680.535</v>
      </c>
      <c r="J45" s="101">
        <v>2989.195</v>
      </c>
      <c r="K45" s="100">
        <v>3588.805</v>
      </c>
      <c r="L45" s="102">
        <v>3948.065</v>
      </c>
      <c r="M45" s="102">
        <v>4058.35</v>
      </c>
      <c r="N45" s="15"/>
    </row>
    <row r="46" ht="18.75" customHeight="1" spans="1:14">
      <c r="A46" s="90" t="s">
        <v>77</v>
      </c>
      <c r="B46" s="100">
        <v>2099.9</v>
      </c>
      <c r="C46" s="100">
        <v>2155.56</v>
      </c>
      <c r="D46" s="101">
        <v>2330.13</v>
      </c>
      <c r="E46" s="100">
        <v>2530</v>
      </c>
      <c r="F46" s="100">
        <v>2681.8</v>
      </c>
      <c r="G46" s="101">
        <v>2876.61</v>
      </c>
      <c r="H46" s="100">
        <v>3079.01</v>
      </c>
      <c r="I46" s="100">
        <v>3388.935</v>
      </c>
      <c r="J46" s="101">
        <v>3734.28</v>
      </c>
      <c r="K46" s="100">
        <v>3997.4</v>
      </c>
      <c r="L46" s="102">
        <v>4034.085</v>
      </c>
      <c r="M46" s="102">
        <v>4163</v>
      </c>
      <c r="N46" s="15"/>
    </row>
    <row r="47" ht="18.75" customHeight="1" spans="1:14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ht="23.25" customHeight="1" spans="1:14">
      <c r="A48" s="120" t="s">
        <v>35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5"/>
    </row>
    <row r="49" ht="18.75" customHeight="1" spans="1:14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5" t="s">
        <v>52</v>
      </c>
      <c r="N49" s="15"/>
    </row>
    <row r="50" ht="18.75" customHeight="1" spans="1:14">
      <c r="A50" s="15"/>
      <c r="B50" s="94"/>
      <c r="C50" s="94"/>
      <c r="D50" s="94"/>
      <c r="E50" s="94"/>
      <c r="F50" s="94"/>
      <c r="G50" s="94"/>
      <c r="H50" s="94"/>
      <c r="I50" s="94"/>
      <c r="J50" s="94"/>
      <c r="N50" s="15"/>
    </row>
    <row r="51" ht="21" customHeight="1" spans="1:14">
      <c r="A51" s="96" t="s">
        <v>78</v>
      </c>
      <c r="N51" s="15"/>
    </row>
    <row r="52" ht="21" customHeight="1" spans="1:14">
      <c r="A52" s="96" t="s">
        <v>79</v>
      </c>
      <c r="J52" s="15"/>
      <c r="K52" s="15"/>
      <c r="L52" s="15"/>
      <c r="M52" s="15"/>
      <c r="N52" s="15"/>
    </row>
    <row r="53" ht="21" customHeight="1" spans="1:14">
      <c r="A53" s="91" t="s">
        <v>55</v>
      </c>
      <c r="J53" s="91"/>
      <c r="K53" s="91"/>
      <c r="L53" s="91"/>
      <c r="M53" s="91"/>
      <c r="N53" s="15"/>
    </row>
    <row r="54" ht="28.5" customHeight="1" spans="1:14">
      <c r="A54" s="98"/>
      <c r="B54" s="99" t="s">
        <v>56</v>
      </c>
      <c r="C54" s="86" t="s">
        <v>57</v>
      </c>
      <c r="D54" s="86" t="s">
        <v>58</v>
      </c>
      <c r="E54" s="86" t="s">
        <v>59</v>
      </c>
      <c r="F54" s="86" t="s">
        <v>60</v>
      </c>
      <c r="G54" s="86" t="s">
        <v>61</v>
      </c>
      <c r="H54" s="86" t="s">
        <v>62</v>
      </c>
      <c r="I54" s="86" t="s">
        <v>63</v>
      </c>
      <c r="J54" s="86" t="s">
        <v>64</v>
      </c>
      <c r="K54" s="86" t="s">
        <v>65</v>
      </c>
      <c r="L54" s="86" t="s">
        <v>66</v>
      </c>
      <c r="M54" s="86" t="s">
        <v>67</v>
      </c>
      <c r="N54" s="15"/>
    </row>
    <row r="55" ht="18.75" customHeight="1" spans="1:14">
      <c r="A55" s="90" t="s">
        <v>68</v>
      </c>
      <c r="B55" s="100">
        <v>2262.7</v>
      </c>
      <c r="C55" s="100">
        <v>2417.58</v>
      </c>
      <c r="D55" s="101">
        <v>2612.39</v>
      </c>
      <c r="E55" s="100">
        <v>2717.66</v>
      </c>
      <c r="F55" s="100">
        <v>2982.65</v>
      </c>
      <c r="G55" s="101">
        <v>3191.98</v>
      </c>
      <c r="H55" s="100">
        <v>3394.05</v>
      </c>
      <c r="I55" s="100">
        <v>3651.78</v>
      </c>
      <c r="J55" s="101">
        <v>4128.52</v>
      </c>
      <c r="K55" s="100">
        <v>4846.05</v>
      </c>
      <c r="L55" s="102">
        <v>5276.81</v>
      </c>
      <c r="M55" s="102">
        <v>5564.79</v>
      </c>
      <c r="N55" s="15"/>
    </row>
    <row r="56" ht="18.75" customHeight="1" spans="1:14">
      <c r="A56" s="90" t="s">
        <v>18</v>
      </c>
      <c r="B56" s="100">
        <v>1929.95</v>
      </c>
      <c r="C56" s="100">
        <v>2057</v>
      </c>
      <c r="D56" s="101">
        <v>2207.04</v>
      </c>
      <c r="E56" s="100">
        <v>2388.54</v>
      </c>
      <c r="F56" s="100">
        <v>2551.89</v>
      </c>
      <c r="G56" s="101">
        <v>2681.36</v>
      </c>
      <c r="H56" s="100">
        <v>2752.75</v>
      </c>
      <c r="I56" s="100">
        <v>2940.3</v>
      </c>
      <c r="J56" s="101">
        <v>3303.3</v>
      </c>
      <c r="K56" s="100">
        <v>3847.8</v>
      </c>
      <c r="L56" s="102">
        <v>4173.29</v>
      </c>
      <c r="M56" s="102">
        <v>4392.3</v>
      </c>
      <c r="N56" s="15"/>
    </row>
    <row r="57" ht="18.75" customHeight="1" spans="1:14">
      <c r="A57" s="90" t="s">
        <v>19</v>
      </c>
      <c r="B57" s="100">
        <v>1582.68</v>
      </c>
      <c r="C57" s="100">
        <v>1690.37</v>
      </c>
      <c r="D57" s="101">
        <v>1800.48</v>
      </c>
      <c r="E57" s="100">
        <v>1956.57</v>
      </c>
      <c r="F57" s="100">
        <v>2065.47</v>
      </c>
      <c r="G57" s="101">
        <v>2261.49</v>
      </c>
      <c r="H57" s="100">
        <v>2309.89</v>
      </c>
      <c r="I57" s="100">
        <v>2434.52</v>
      </c>
      <c r="J57" s="101">
        <v>2684.99</v>
      </c>
      <c r="K57" s="100">
        <v>3054.04</v>
      </c>
      <c r="L57" s="102">
        <v>3274.26</v>
      </c>
      <c r="M57" s="102">
        <v>3423.09</v>
      </c>
      <c r="N57" s="15"/>
    </row>
    <row r="58" ht="18.75" customHeight="1" spans="1:14">
      <c r="A58" s="90" t="s">
        <v>20</v>
      </c>
      <c r="B58" s="100">
        <v>1312.85</v>
      </c>
      <c r="C58" s="100">
        <v>1448.37</v>
      </c>
      <c r="D58" s="101">
        <v>1527.02</v>
      </c>
      <c r="E58" s="100">
        <v>1579.05</v>
      </c>
      <c r="F58" s="100">
        <v>1724.25</v>
      </c>
      <c r="G58" s="101">
        <v>1807.74</v>
      </c>
      <c r="H58" s="100">
        <v>1845.25</v>
      </c>
      <c r="I58" s="100">
        <v>1981.98</v>
      </c>
      <c r="J58" s="101">
        <v>2165.9</v>
      </c>
      <c r="K58" s="100">
        <v>2652.32</v>
      </c>
      <c r="L58" s="102">
        <v>2883.43</v>
      </c>
      <c r="M58" s="102">
        <v>3020.16</v>
      </c>
      <c r="N58" s="15"/>
    </row>
    <row r="59" ht="18.75" customHeight="1" spans="1:14">
      <c r="A59" s="90" t="s">
        <v>21</v>
      </c>
      <c r="B59" s="100">
        <v>1055.12</v>
      </c>
      <c r="C59" s="100">
        <v>1173.7</v>
      </c>
      <c r="D59" s="101">
        <v>1226.94</v>
      </c>
      <c r="E59" s="100">
        <v>1263.24</v>
      </c>
      <c r="F59" s="100">
        <v>1366.09</v>
      </c>
      <c r="G59" s="101">
        <v>1534.28</v>
      </c>
      <c r="H59" s="100">
        <v>1559.69</v>
      </c>
      <c r="I59" s="100">
        <v>1652.86</v>
      </c>
      <c r="J59" s="101">
        <v>1858.56</v>
      </c>
      <c r="K59" s="100">
        <v>2138.07</v>
      </c>
      <c r="L59" s="102">
        <v>2306.26</v>
      </c>
      <c r="M59" s="102">
        <v>2406.69</v>
      </c>
      <c r="N59" s="15"/>
    </row>
    <row r="60" ht="18.75" customHeight="1" spans="1:14">
      <c r="A60" s="90" t="s">
        <v>22</v>
      </c>
      <c r="B60" s="100">
        <v>884.51</v>
      </c>
      <c r="C60" s="100">
        <v>997.04</v>
      </c>
      <c r="D60" s="101">
        <v>1028.5</v>
      </c>
      <c r="E60" s="100">
        <v>1051.49</v>
      </c>
      <c r="F60" s="100">
        <v>1113.2</v>
      </c>
      <c r="G60" s="101">
        <v>1160.39</v>
      </c>
      <c r="H60" s="100">
        <v>1176.12</v>
      </c>
      <c r="I60" s="100">
        <v>1231.78</v>
      </c>
      <c r="J60" s="101">
        <v>1363.67</v>
      </c>
      <c r="K60" s="100">
        <v>1534.28</v>
      </c>
      <c r="L60" s="102">
        <v>1637.13</v>
      </c>
      <c r="M60" s="102">
        <v>1697.63</v>
      </c>
      <c r="N60" s="15"/>
    </row>
    <row r="61" ht="18.75" customHeight="1" spans="1:14">
      <c r="A61" s="90" t="s">
        <v>23</v>
      </c>
      <c r="B61" s="100">
        <v>2602.71</v>
      </c>
      <c r="C61" s="100">
        <v>2752.75</v>
      </c>
      <c r="D61" s="101">
        <v>2905.21</v>
      </c>
      <c r="E61" s="100">
        <v>3068.56</v>
      </c>
      <c r="F61" s="100">
        <v>3119.38</v>
      </c>
      <c r="G61" s="101">
        <v>3274.26</v>
      </c>
      <c r="H61" s="100">
        <v>3548.93</v>
      </c>
      <c r="I61" s="100">
        <v>3960.33</v>
      </c>
      <c r="J61" s="101">
        <v>4664.55</v>
      </c>
      <c r="K61" s="100">
        <v>5714.83</v>
      </c>
      <c r="L61" s="102">
        <v>6346.45</v>
      </c>
      <c r="M61" s="102">
        <v>6766.32</v>
      </c>
      <c r="N61" s="15"/>
    </row>
    <row r="62" ht="18.75" customHeight="1" spans="1:14">
      <c r="A62" s="90" t="s">
        <v>24</v>
      </c>
      <c r="B62" s="100">
        <v>2397.01</v>
      </c>
      <c r="C62" s="100">
        <v>2547.05</v>
      </c>
      <c r="D62" s="101">
        <v>2699.51</v>
      </c>
      <c r="E62" s="100">
        <v>2862.86</v>
      </c>
      <c r="F62" s="100">
        <v>2913.68</v>
      </c>
      <c r="G62" s="101">
        <v>3068.56</v>
      </c>
      <c r="H62" s="100">
        <v>3343.23</v>
      </c>
      <c r="I62" s="100">
        <v>3754.63</v>
      </c>
      <c r="J62" s="101">
        <v>4458.85</v>
      </c>
      <c r="K62" s="100">
        <v>5509.13</v>
      </c>
      <c r="L62" s="102">
        <v>6140.75</v>
      </c>
      <c r="M62" s="102">
        <v>6560.62</v>
      </c>
      <c r="N62" s="15"/>
    </row>
    <row r="63" ht="18.75" customHeight="1" spans="1:14">
      <c r="A63" s="90" t="s">
        <v>69</v>
      </c>
      <c r="B63" s="100">
        <v>3713.49</v>
      </c>
      <c r="C63" s="100">
        <v>3859.9</v>
      </c>
      <c r="D63" s="101">
        <v>4080.12</v>
      </c>
      <c r="E63" s="100">
        <v>4487.89</v>
      </c>
      <c r="F63" s="100">
        <v>4676.65</v>
      </c>
      <c r="G63" s="101">
        <v>4999.72</v>
      </c>
      <c r="H63" s="100">
        <v>5290.12</v>
      </c>
      <c r="I63" s="100">
        <v>5904.8</v>
      </c>
      <c r="J63" s="101">
        <v>6310.15</v>
      </c>
      <c r="K63" s="100">
        <v>7791.19</v>
      </c>
      <c r="L63" s="102">
        <v>8679.33</v>
      </c>
      <c r="M63" s="102">
        <v>9272.23</v>
      </c>
      <c r="N63" s="15"/>
    </row>
    <row r="64" ht="18.75" customHeight="1" spans="1:14">
      <c r="A64" s="90" t="s">
        <v>27</v>
      </c>
      <c r="B64" s="100">
        <v>4812.17</v>
      </c>
      <c r="C64" s="100">
        <v>4945.27</v>
      </c>
      <c r="D64" s="101">
        <v>5157.02</v>
      </c>
      <c r="E64" s="100">
        <v>5626.5</v>
      </c>
      <c r="F64" s="100">
        <v>5804.37</v>
      </c>
      <c r="G64" s="101">
        <v>6439.62</v>
      </c>
      <c r="H64" s="100">
        <v>6968.39</v>
      </c>
      <c r="I64" s="100">
        <v>7580.65</v>
      </c>
      <c r="J64" s="101">
        <v>8848.73</v>
      </c>
      <c r="K64" s="100">
        <v>10366.07</v>
      </c>
      <c r="L64" s="102">
        <v>11275.99</v>
      </c>
      <c r="M64" s="102">
        <v>11822.91</v>
      </c>
      <c r="N64" s="15"/>
    </row>
    <row r="65" ht="18.75" customHeight="1" spans="1:14">
      <c r="A65" s="105" t="s">
        <v>70</v>
      </c>
      <c r="B65" s="100">
        <v>8937.06</v>
      </c>
      <c r="C65" s="100">
        <v>9215.36</v>
      </c>
      <c r="D65" s="101">
        <v>9450.1</v>
      </c>
      <c r="E65" s="100">
        <v>9712.67</v>
      </c>
      <c r="F65" s="100">
        <v>10007.91</v>
      </c>
      <c r="G65" s="101">
        <v>10679.46</v>
      </c>
      <c r="H65" s="100">
        <v>11035.2</v>
      </c>
      <c r="I65" s="100">
        <v>11802.34</v>
      </c>
      <c r="J65" s="101">
        <v>13236.19</v>
      </c>
      <c r="K65" s="100">
        <v>15607.79</v>
      </c>
      <c r="L65" s="102">
        <v>17030.75</v>
      </c>
      <c r="M65" s="102">
        <v>10490.7</v>
      </c>
      <c r="N65" s="15"/>
    </row>
    <row r="66" ht="18.75" customHeight="1" spans="1:14">
      <c r="A66" s="90" t="s">
        <v>71</v>
      </c>
      <c r="B66" s="100">
        <v>1015.19</v>
      </c>
      <c r="C66" s="100">
        <v>1036.97</v>
      </c>
      <c r="D66" s="101">
        <v>1110.78</v>
      </c>
      <c r="E66" s="100">
        <v>1230.57</v>
      </c>
      <c r="F66" s="100">
        <v>1322.53</v>
      </c>
      <c r="G66" s="101">
        <v>1402.39</v>
      </c>
      <c r="H66" s="100">
        <v>1523.39</v>
      </c>
      <c r="I66" s="100">
        <v>1574.21</v>
      </c>
      <c r="J66" s="101">
        <v>1759.34</v>
      </c>
      <c r="K66" s="100">
        <v>2012.23</v>
      </c>
      <c r="L66" s="102">
        <v>2164.69</v>
      </c>
      <c r="M66" s="102">
        <v>2255.44</v>
      </c>
      <c r="N66" s="15"/>
    </row>
    <row r="67" ht="18.75" customHeight="1" spans="1:14">
      <c r="A67" s="90" t="s">
        <v>72</v>
      </c>
      <c r="B67" s="100">
        <v>3026.21</v>
      </c>
      <c r="C67" s="100">
        <v>3116.96</v>
      </c>
      <c r="D67" s="101">
        <v>3155.68</v>
      </c>
      <c r="E67" s="100">
        <v>3276.68</v>
      </c>
      <c r="F67" s="100">
        <v>3384.37</v>
      </c>
      <c r="G67" s="101">
        <v>3644.52</v>
      </c>
      <c r="H67" s="100">
        <v>3764.31</v>
      </c>
      <c r="I67" s="100">
        <v>4028.09</v>
      </c>
      <c r="J67" s="101">
        <v>4521.77</v>
      </c>
      <c r="K67" s="100">
        <v>5454.68</v>
      </c>
      <c r="L67" s="102">
        <v>6013.7</v>
      </c>
      <c r="M67" s="102">
        <v>6350.08</v>
      </c>
      <c r="N67" s="15"/>
    </row>
    <row r="68" ht="18.75" customHeight="1" spans="1:14">
      <c r="A68" s="90" t="s">
        <v>73</v>
      </c>
      <c r="B68" s="100">
        <v>1142.24</v>
      </c>
      <c r="C68" s="100">
        <v>1178.54</v>
      </c>
      <c r="D68" s="101">
        <v>1248.72</v>
      </c>
      <c r="E68" s="100">
        <v>1381.82</v>
      </c>
      <c r="F68" s="100">
        <v>1437.48</v>
      </c>
      <c r="G68" s="101">
        <v>1600.83</v>
      </c>
      <c r="H68" s="100">
        <v>1748.45</v>
      </c>
      <c r="I68" s="100">
        <v>2001.34</v>
      </c>
      <c r="J68" s="101">
        <v>2165.9</v>
      </c>
      <c r="K68" s="100">
        <v>2563.99</v>
      </c>
      <c r="L68" s="102">
        <v>2802.36</v>
      </c>
      <c r="M68" s="102">
        <v>2946.35</v>
      </c>
      <c r="N68" s="15"/>
    </row>
    <row r="69" ht="18.75" customHeight="1" spans="1:14">
      <c r="A69" s="90" t="s">
        <v>74</v>
      </c>
      <c r="B69" s="100">
        <v>1504.03</v>
      </c>
      <c r="C69" s="100">
        <v>1556.06</v>
      </c>
      <c r="D69" s="101">
        <v>1738.77</v>
      </c>
      <c r="E69" s="100">
        <v>1781.12</v>
      </c>
      <c r="F69" s="100">
        <v>1903.33</v>
      </c>
      <c r="G69" s="101">
        <v>2193.73</v>
      </c>
      <c r="H69" s="100">
        <v>2302.63</v>
      </c>
      <c r="I69" s="100">
        <v>2528.9</v>
      </c>
      <c r="J69" s="101">
        <v>2711.61</v>
      </c>
      <c r="K69" s="100">
        <v>3300.88</v>
      </c>
      <c r="L69" s="102">
        <v>3654.2</v>
      </c>
      <c r="M69" s="102">
        <v>3865.95</v>
      </c>
      <c r="N69" s="15"/>
    </row>
    <row r="70" ht="18.75" customHeight="1" spans="1:1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ht="23.25" customHeight="1" spans="1:14">
      <c r="A71" s="120" t="s">
        <v>35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5"/>
    </row>
    <row r="72" ht="18.75" customHeight="1" spans="1:14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5" t="s">
        <v>52</v>
      </c>
      <c r="N72" s="15"/>
    </row>
    <row r="73" ht="18.75" customHeight="1" spans="1:14">
      <c r="A73" s="15"/>
      <c r="B73" s="94"/>
      <c r="C73" s="94"/>
      <c r="D73" s="94"/>
      <c r="E73" s="94"/>
      <c r="F73" s="94"/>
      <c r="G73" s="94"/>
      <c r="H73" s="94"/>
      <c r="I73" s="94"/>
      <c r="J73" s="94"/>
      <c r="N73" s="15"/>
    </row>
    <row r="74" ht="21" customHeight="1" spans="1:14">
      <c r="A74" s="96" t="s">
        <v>80</v>
      </c>
      <c r="N74" s="15"/>
    </row>
    <row r="75" ht="21" customHeight="1" spans="1:14">
      <c r="A75" s="96" t="s">
        <v>79</v>
      </c>
      <c r="J75" s="15"/>
      <c r="K75" s="15"/>
      <c r="L75" s="15"/>
      <c r="M75" s="15"/>
      <c r="N75" s="15"/>
    </row>
    <row r="76" ht="21" customHeight="1" spans="1:14">
      <c r="A76" s="91" t="s">
        <v>55</v>
      </c>
      <c r="J76" s="91"/>
      <c r="K76" s="91"/>
      <c r="L76" s="91"/>
      <c r="M76" s="91"/>
      <c r="N76" s="15"/>
    </row>
    <row r="77" ht="28.5" customHeight="1" spans="1:14">
      <c r="A77" s="98"/>
      <c r="B77" s="99" t="s">
        <v>56</v>
      </c>
      <c r="C77" s="86" t="s">
        <v>57</v>
      </c>
      <c r="D77" s="86" t="s">
        <v>58</v>
      </c>
      <c r="E77" s="86" t="s">
        <v>59</v>
      </c>
      <c r="F77" s="86" t="s">
        <v>60</v>
      </c>
      <c r="G77" s="86" t="s">
        <v>61</v>
      </c>
      <c r="H77" s="86" t="s">
        <v>62</v>
      </c>
      <c r="I77" s="86" t="s">
        <v>63</v>
      </c>
      <c r="J77" s="86" t="s">
        <v>64</v>
      </c>
      <c r="K77" s="86" t="s">
        <v>65</v>
      </c>
      <c r="L77" s="86" t="s">
        <v>66</v>
      </c>
      <c r="M77" s="86" t="s">
        <v>67</v>
      </c>
      <c r="N77" s="15"/>
    </row>
    <row r="78" ht="18.75" customHeight="1" spans="1:14">
      <c r="A78" s="90" t="s">
        <v>68</v>
      </c>
      <c r="B78" s="100">
        <v>2726.13</v>
      </c>
      <c r="C78" s="100">
        <v>2859.23</v>
      </c>
      <c r="D78" s="101">
        <v>3103.65</v>
      </c>
      <c r="E78" s="100">
        <v>3466.65</v>
      </c>
      <c r="F78" s="100">
        <v>3599.75</v>
      </c>
      <c r="G78" s="101">
        <v>3694.13</v>
      </c>
      <c r="H78" s="100">
        <v>4478.21</v>
      </c>
      <c r="I78" s="100">
        <v>4702.06</v>
      </c>
      <c r="J78" s="101">
        <v>4933.17</v>
      </c>
      <c r="K78" s="100">
        <v>6273.85</v>
      </c>
      <c r="L78" s="100">
        <v>7078.5</v>
      </c>
      <c r="M78" s="100">
        <v>7614.53</v>
      </c>
      <c r="N78" s="15"/>
    </row>
    <row r="79" ht="18.75" customHeight="1" spans="1:14">
      <c r="A79" s="90" t="s">
        <v>18</v>
      </c>
      <c r="B79" s="100">
        <v>2262.7</v>
      </c>
      <c r="C79" s="100">
        <v>2410.32</v>
      </c>
      <c r="D79" s="101">
        <v>2641.43</v>
      </c>
      <c r="E79" s="100">
        <v>2982.65</v>
      </c>
      <c r="F79" s="100">
        <v>3085.5</v>
      </c>
      <c r="G79" s="101">
        <v>3178.67</v>
      </c>
      <c r="H79" s="100">
        <v>3809.08</v>
      </c>
      <c r="I79" s="100">
        <v>4011.15</v>
      </c>
      <c r="J79" s="101">
        <v>4161.19</v>
      </c>
      <c r="K79" s="100">
        <v>5348.2</v>
      </c>
      <c r="L79" s="100">
        <v>6059.68</v>
      </c>
      <c r="M79" s="100">
        <v>6535.21</v>
      </c>
      <c r="N79" s="15"/>
    </row>
    <row r="80" ht="18.75" customHeight="1" spans="1:14">
      <c r="A80" s="90" t="s">
        <v>19</v>
      </c>
      <c r="B80" s="100">
        <v>1877.92</v>
      </c>
      <c r="C80" s="100">
        <v>1954.15</v>
      </c>
      <c r="D80" s="101">
        <v>2159.85</v>
      </c>
      <c r="E80" s="100">
        <v>2403.06</v>
      </c>
      <c r="F80" s="100">
        <v>2520.43</v>
      </c>
      <c r="G80" s="101">
        <v>2571.25</v>
      </c>
      <c r="H80" s="100">
        <v>3141.16</v>
      </c>
      <c r="I80" s="100">
        <v>3309.35</v>
      </c>
      <c r="J80" s="101">
        <v>3437.61</v>
      </c>
      <c r="K80" s="100">
        <v>4492.73</v>
      </c>
      <c r="L80" s="100">
        <v>5125.56</v>
      </c>
      <c r="M80" s="100">
        <v>5547.85</v>
      </c>
      <c r="N80" s="15"/>
    </row>
    <row r="81" ht="18.75" customHeight="1" spans="1:14">
      <c r="A81" s="90" t="s">
        <v>20</v>
      </c>
      <c r="B81" s="100">
        <v>1513.71</v>
      </c>
      <c r="C81" s="100">
        <v>1545.17</v>
      </c>
      <c r="D81" s="101">
        <v>1709.73</v>
      </c>
      <c r="E81" s="100">
        <v>2018.28</v>
      </c>
      <c r="F81" s="100">
        <v>2090.88</v>
      </c>
      <c r="G81" s="101">
        <v>2159.85</v>
      </c>
      <c r="H81" s="100">
        <v>2458.72</v>
      </c>
      <c r="I81" s="100">
        <v>2648.69</v>
      </c>
      <c r="J81" s="101">
        <v>3032.26</v>
      </c>
      <c r="K81" s="100">
        <v>3562.24</v>
      </c>
      <c r="L81" s="100">
        <v>3879.26</v>
      </c>
      <c r="M81" s="100">
        <v>4069.23</v>
      </c>
      <c r="N81" s="15"/>
    </row>
    <row r="82" ht="18.75" customHeight="1" spans="1:14">
      <c r="A82" s="90" t="s">
        <v>21</v>
      </c>
      <c r="B82" s="100">
        <v>1234.2</v>
      </c>
      <c r="C82" s="100">
        <v>1339.47</v>
      </c>
      <c r="D82" s="101">
        <v>1439.9</v>
      </c>
      <c r="E82" s="100">
        <v>1566.95</v>
      </c>
      <c r="F82" s="100">
        <v>1710.94</v>
      </c>
      <c r="G82" s="101">
        <v>1881.55</v>
      </c>
      <c r="H82" s="100">
        <v>1933.58</v>
      </c>
      <c r="I82" s="100">
        <v>2069.1</v>
      </c>
      <c r="J82" s="101">
        <v>2349.82</v>
      </c>
      <c r="K82" s="100">
        <v>2734.6</v>
      </c>
      <c r="L82" s="100">
        <v>2965.71</v>
      </c>
      <c r="M82" s="100">
        <v>3103.65</v>
      </c>
      <c r="N82" s="15"/>
    </row>
    <row r="83" ht="18.75" customHeight="1" spans="1:14">
      <c r="A83" s="90" t="s">
        <v>22</v>
      </c>
      <c r="B83" s="100">
        <v>1066.01</v>
      </c>
      <c r="C83" s="100">
        <v>1107.15</v>
      </c>
      <c r="D83" s="101">
        <v>1230.57</v>
      </c>
      <c r="E83" s="100">
        <v>1260.82</v>
      </c>
      <c r="F83" s="100">
        <v>1347.94</v>
      </c>
      <c r="G83" s="101">
        <v>1398.76</v>
      </c>
      <c r="H83" s="100">
        <v>1426.59</v>
      </c>
      <c r="I83" s="100">
        <v>1504.03</v>
      </c>
      <c r="J83" s="101">
        <v>1675.85</v>
      </c>
      <c r="K83" s="100">
        <v>1909.38</v>
      </c>
      <c r="L83" s="100">
        <v>2048.53</v>
      </c>
      <c r="M83" s="100">
        <v>2133.23</v>
      </c>
      <c r="N83" s="15"/>
    </row>
    <row r="84" ht="18.75" customHeight="1" spans="1:14">
      <c r="A84" s="90" t="s">
        <v>23</v>
      </c>
      <c r="B84" s="100">
        <v>2889.48</v>
      </c>
      <c r="C84" s="100">
        <v>3159.31</v>
      </c>
      <c r="D84" s="101">
        <v>3533.2</v>
      </c>
      <c r="E84" s="100">
        <v>3819.97</v>
      </c>
      <c r="F84" s="100">
        <v>4199.91</v>
      </c>
      <c r="G84" s="101">
        <v>4700.85</v>
      </c>
      <c r="H84" s="100">
        <v>5206.63</v>
      </c>
      <c r="I84" s="100">
        <v>5389.34</v>
      </c>
      <c r="J84" s="101">
        <v>6064.52</v>
      </c>
      <c r="K84" s="100">
        <v>7848.06</v>
      </c>
      <c r="L84" s="100">
        <v>8918.91</v>
      </c>
      <c r="M84" s="100">
        <v>9632.81</v>
      </c>
      <c r="N84" s="15"/>
    </row>
    <row r="85" ht="18.75" customHeight="1" spans="1:14">
      <c r="A85" s="90" t="s">
        <v>24</v>
      </c>
      <c r="B85" s="100">
        <v>2683.78</v>
      </c>
      <c r="C85" s="100">
        <v>2953.61</v>
      </c>
      <c r="D85" s="101">
        <v>3327.5</v>
      </c>
      <c r="E85" s="100">
        <v>3614.27</v>
      </c>
      <c r="F85" s="100">
        <v>3994.21</v>
      </c>
      <c r="G85" s="101">
        <v>4495.15</v>
      </c>
      <c r="H85" s="100">
        <v>5000.93</v>
      </c>
      <c r="I85" s="100">
        <v>5183.64</v>
      </c>
      <c r="J85" s="101">
        <v>5858.82</v>
      </c>
      <c r="K85" s="100">
        <v>7642.36</v>
      </c>
      <c r="L85" s="100">
        <v>8713.21</v>
      </c>
      <c r="M85" s="100">
        <v>9427.11</v>
      </c>
      <c r="N85" s="15"/>
    </row>
    <row r="86" ht="18.75" customHeight="1" spans="1:14">
      <c r="A86" s="90" t="s">
        <v>69</v>
      </c>
      <c r="B86" s="100">
        <v>4167.24</v>
      </c>
      <c r="C86" s="100">
        <v>4483.05</v>
      </c>
      <c r="D86" s="101">
        <v>4854.52</v>
      </c>
      <c r="E86" s="100">
        <v>5252.61</v>
      </c>
      <c r="F86" s="100">
        <v>5511.55</v>
      </c>
      <c r="G86" s="101">
        <v>5941.1</v>
      </c>
      <c r="H86" s="100">
        <v>6195.2</v>
      </c>
      <c r="I86" s="100">
        <v>6771.16</v>
      </c>
      <c r="J86" s="101">
        <v>7595.17</v>
      </c>
      <c r="K86" s="100">
        <v>8546.23</v>
      </c>
      <c r="L86" s="100">
        <v>9117.35</v>
      </c>
      <c r="M86" s="100">
        <v>9498.5</v>
      </c>
      <c r="N86" s="15"/>
    </row>
    <row r="87" ht="18.75" customHeight="1" spans="1:14">
      <c r="A87" s="90" t="s">
        <v>27</v>
      </c>
      <c r="B87" s="100">
        <v>5546.64</v>
      </c>
      <c r="C87" s="100">
        <v>5885.44</v>
      </c>
      <c r="D87" s="101">
        <v>6076.62</v>
      </c>
      <c r="E87" s="100">
        <v>6443.25</v>
      </c>
      <c r="F87" s="100">
        <v>6737.28</v>
      </c>
      <c r="G87" s="101">
        <v>7449.97</v>
      </c>
      <c r="H87" s="100">
        <v>7910.98</v>
      </c>
      <c r="I87" s="100">
        <v>8938.27</v>
      </c>
      <c r="J87" s="101">
        <v>10634.69</v>
      </c>
      <c r="K87" s="100">
        <v>12902.23</v>
      </c>
      <c r="L87" s="100">
        <v>14263.48</v>
      </c>
      <c r="M87" s="100">
        <v>15080.23</v>
      </c>
      <c r="N87" s="15"/>
    </row>
    <row r="88" ht="18.75" customHeight="1" spans="1:14">
      <c r="A88" s="105" t="s">
        <v>70</v>
      </c>
      <c r="B88" s="100">
        <v>10234.18</v>
      </c>
      <c r="C88" s="100">
        <v>10566.93</v>
      </c>
      <c r="D88" s="101">
        <v>10837.97</v>
      </c>
      <c r="E88" s="100">
        <v>11146.52</v>
      </c>
      <c r="F88" s="100">
        <v>11496.21</v>
      </c>
      <c r="G88" s="101">
        <v>12287.55</v>
      </c>
      <c r="H88" s="100">
        <v>12713.47</v>
      </c>
      <c r="I88" s="100">
        <v>13635.49</v>
      </c>
      <c r="J88" s="101">
        <v>15214.54</v>
      </c>
      <c r="K88" s="100">
        <v>17886.22</v>
      </c>
      <c r="L88" s="100">
        <v>19490.68</v>
      </c>
      <c r="M88" s="100">
        <v>20451.42</v>
      </c>
      <c r="N88" s="15"/>
    </row>
    <row r="89" ht="18.75" customHeight="1" spans="1:14">
      <c r="A89" s="90" t="s">
        <v>71</v>
      </c>
      <c r="B89" s="100">
        <v>1196.69</v>
      </c>
      <c r="C89" s="100">
        <v>1219.68</v>
      </c>
      <c r="D89" s="101">
        <v>1245.09</v>
      </c>
      <c r="E89" s="100">
        <v>1372.14</v>
      </c>
      <c r="F89" s="100">
        <v>1497.98</v>
      </c>
      <c r="G89" s="101">
        <v>1566.95</v>
      </c>
      <c r="H89" s="100">
        <v>1697.63</v>
      </c>
      <c r="I89" s="100">
        <v>1752.08</v>
      </c>
      <c r="J89" s="101">
        <v>1931.16</v>
      </c>
      <c r="K89" s="100">
        <v>2148.96</v>
      </c>
      <c r="L89" s="100">
        <v>2279.64</v>
      </c>
      <c r="M89" s="100">
        <v>2357.08</v>
      </c>
      <c r="N89" s="15"/>
    </row>
    <row r="90" ht="18.75" customHeight="1" spans="1:14">
      <c r="A90" s="90" t="s">
        <v>81</v>
      </c>
      <c r="B90" s="100">
        <v>3389.21</v>
      </c>
      <c r="C90" s="100">
        <v>3500.53</v>
      </c>
      <c r="D90" s="101">
        <v>3533.2</v>
      </c>
      <c r="E90" s="100">
        <v>3666.3</v>
      </c>
      <c r="F90" s="100">
        <v>3798.19</v>
      </c>
      <c r="G90" s="101">
        <v>4169.66</v>
      </c>
      <c r="H90" s="100">
        <v>4504.83</v>
      </c>
      <c r="I90" s="100">
        <v>4848.47</v>
      </c>
      <c r="J90" s="101">
        <v>5348.2</v>
      </c>
      <c r="K90" s="100">
        <v>6716.71</v>
      </c>
      <c r="L90" s="100">
        <v>7537.09</v>
      </c>
      <c r="M90" s="100">
        <v>8029.56</v>
      </c>
      <c r="N90" s="15"/>
    </row>
    <row r="91" ht="18.75" customHeight="1" spans="1:14">
      <c r="A91" s="90" t="s">
        <v>82</v>
      </c>
      <c r="B91" s="100">
        <v>4129.73</v>
      </c>
      <c r="C91" s="100">
        <v>4289.45</v>
      </c>
      <c r="D91" s="101">
        <v>4320.91</v>
      </c>
      <c r="E91" s="100">
        <v>3298.46</v>
      </c>
      <c r="F91" s="100">
        <v>4694.8</v>
      </c>
      <c r="G91" s="101">
        <v>5059.01</v>
      </c>
      <c r="H91" s="100">
        <v>5256.24</v>
      </c>
      <c r="I91" s="100">
        <v>5662.8</v>
      </c>
      <c r="J91" s="101">
        <v>6330.72</v>
      </c>
      <c r="K91" s="100">
        <v>7760.94</v>
      </c>
      <c r="L91" s="100">
        <v>8620.04</v>
      </c>
      <c r="M91" s="100">
        <v>9134.29</v>
      </c>
      <c r="N91" s="15"/>
    </row>
    <row r="92" ht="18.75" customHeight="1" spans="1:14">
      <c r="A92" s="105" t="s">
        <v>83</v>
      </c>
      <c r="B92" s="100">
        <v>2808.41</v>
      </c>
      <c r="C92" s="100">
        <v>2844.71</v>
      </c>
      <c r="D92" s="101">
        <v>2925.78</v>
      </c>
      <c r="E92" s="100">
        <v>3205.29</v>
      </c>
      <c r="F92" s="100">
        <v>3386.79</v>
      </c>
      <c r="G92" s="101">
        <v>3672.35</v>
      </c>
      <c r="H92" s="100">
        <v>3724.38</v>
      </c>
      <c r="I92" s="100">
        <v>3867.16</v>
      </c>
      <c r="J92" s="101">
        <v>4179.34</v>
      </c>
      <c r="K92" s="100">
        <v>4885.98</v>
      </c>
      <c r="L92" s="100">
        <v>5310.69</v>
      </c>
      <c r="M92" s="100">
        <v>5564.79</v>
      </c>
      <c r="N92" s="15"/>
    </row>
    <row r="93" ht="18.75" customHeight="1" spans="1:1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ht="23.25" customHeight="1" spans="1:14">
      <c r="A94" s="120" t="s">
        <v>35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5"/>
    </row>
    <row r="95" ht="18.75" customHeight="1" spans="1:14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5" t="s">
        <v>52</v>
      </c>
      <c r="N95" s="15"/>
    </row>
    <row r="96" ht="18.75" customHeight="1" spans="1:14">
      <c r="A96" s="15"/>
      <c r="B96" s="94"/>
      <c r="C96" s="94"/>
      <c r="D96" s="94"/>
      <c r="E96" s="94"/>
      <c r="F96" s="94"/>
      <c r="G96" s="94"/>
      <c r="H96" s="94"/>
      <c r="I96" s="94"/>
      <c r="J96" s="94"/>
      <c r="N96" s="15"/>
    </row>
    <row r="97" ht="21" customHeight="1" spans="1:14">
      <c r="A97" s="96" t="s">
        <v>84</v>
      </c>
      <c r="N97" s="15"/>
    </row>
    <row r="98" ht="21" customHeight="1" spans="1:14">
      <c r="A98" s="96" t="s">
        <v>76</v>
      </c>
      <c r="K98" s="15"/>
      <c r="L98" s="15"/>
      <c r="M98" s="15"/>
      <c r="N98" s="15"/>
    </row>
    <row r="99" ht="21" customHeight="1" spans="1:14">
      <c r="A99" s="91" t="s">
        <v>55</v>
      </c>
      <c r="J99" s="91"/>
      <c r="K99" s="91"/>
      <c r="L99" s="91"/>
      <c r="M99" s="91"/>
      <c r="N99" s="15"/>
    </row>
    <row r="100" ht="28.5" customHeight="1" spans="1:14">
      <c r="A100" s="98"/>
      <c r="B100" s="99" t="s">
        <v>56</v>
      </c>
      <c r="C100" s="86" t="s">
        <v>57</v>
      </c>
      <c r="D100" s="86" t="s">
        <v>58</v>
      </c>
      <c r="E100" s="86" t="s">
        <v>59</v>
      </c>
      <c r="F100" s="86" t="s">
        <v>60</v>
      </c>
      <c r="G100" s="86" t="s">
        <v>61</v>
      </c>
      <c r="H100" s="86" t="s">
        <v>62</v>
      </c>
      <c r="I100" s="86" t="s">
        <v>63</v>
      </c>
      <c r="J100" s="86" t="s">
        <v>64</v>
      </c>
      <c r="K100" s="86" t="s">
        <v>65</v>
      </c>
      <c r="L100" s="86" t="s">
        <v>66</v>
      </c>
      <c r="M100" s="86" t="s">
        <v>67</v>
      </c>
      <c r="N100" s="15"/>
    </row>
    <row r="101" ht="18.75" customHeight="1" spans="1:14">
      <c r="A101" s="90" t="s">
        <v>68</v>
      </c>
      <c r="B101" s="100">
        <v>2963.895</v>
      </c>
      <c r="C101" s="100">
        <v>3013.23</v>
      </c>
      <c r="D101" s="101">
        <v>3229.545</v>
      </c>
      <c r="E101" s="100">
        <v>3490.135</v>
      </c>
      <c r="F101" s="100">
        <v>3763.375</v>
      </c>
      <c r="G101" s="101">
        <v>3925.295</v>
      </c>
      <c r="H101" s="100">
        <v>4116.31</v>
      </c>
      <c r="I101" s="100">
        <v>4516.05</v>
      </c>
      <c r="J101" s="101">
        <v>4946.15</v>
      </c>
      <c r="K101" s="100">
        <v>6021.4</v>
      </c>
      <c r="L101" s="102">
        <v>6666.55</v>
      </c>
      <c r="M101" s="102">
        <v>7096.65</v>
      </c>
      <c r="N101" s="15"/>
    </row>
    <row r="102" ht="18.75" customHeight="1" spans="1:14">
      <c r="A102" s="90" t="s">
        <v>18</v>
      </c>
      <c r="B102" s="100">
        <v>2428.8</v>
      </c>
      <c r="C102" s="100">
        <v>2613.49</v>
      </c>
      <c r="D102" s="101">
        <v>2837.395</v>
      </c>
      <c r="E102" s="100">
        <v>3036</v>
      </c>
      <c r="F102" s="100">
        <v>3215.63</v>
      </c>
      <c r="G102" s="101">
        <v>3369.96</v>
      </c>
      <c r="H102" s="100">
        <v>3562.24</v>
      </c>
      <c r="I102" s="100">
        <v>4069.505</v>
      </c>
      <c r="J102" s="101">
        <v>4189.68</v>
      </c>
      <c r="K102" s="100">
        <v>5161.2</v>
      </c>
      <c r="L102" s="102">
        <v>5612.805</v>
      </c>
      <c r="M102" s="102">
        <v>5939.175</v>
      </c>
      <c r="N102" s="15"/>
    </row>
    <row r="103" ht="18.75" customHeight="1" spans="1:14">
      <c r="A103" s="90" t="s">
        <v>19</v>
      </c>
      <c r="B103" s="100">
        <v>1892.44</v>
      </c>
      <c r="C103" s="100">
        <v>2051.83</v>
      </c>
      <c r="D103" s="101">
        <v>2236.52</v>
      </c>
      <c r="E103" s="100">
        <v>2404.765</v>
      </c>
      <c r="F103" s="100">
        <v>2632.465</v>
      </c>
      <c r="G103" s="101">
        <v>2795.65</v>
      </c>
      <c r="H103" s="100">
        <v>2906.97</v>
      </c>
      <c r="I103" s="100">
        <v>3157.44</v>
      </c>
      <c r="J103" s="101">
        <v>3440.8</v>
      </c>
      <c r="K103" s="100">
        <v>4193.475</v>
      </c>
      <c r="L103" s="102">
        <v>4645.08</v>
      </c>
      <c r="M103" s="102">
        <v>4946.15</v>
      </c>
      <c r="N103" s="15"/>
    </row>
    <row r="104" ht="18.75" customHeight="1" spans="1:14">
      <c r="A104" s="90" t="s">
        <v>20</v>
      </c>
      <c r="B104" s="100">
        <v>1571.13</v>
      </c>
      <c r="C104" s="100">
        <v>1714.075</v>
      </c>
      <c r="D104" s="101">
        <v>1874.73</v>
      </c>
      <c r="E104" s="100">
        <v>2025.265</v>
      </c>
      <c r="F104" s="100">
        <v>2183.39</v>
      </c>
      <c r="G104" s="101">
        <v>2258.025</v>
      </c>
      <c r="H104" s="100">
        <v>2374.405</v>
      </c>
      <c r="I104" s="100">
        <v>2542.65</v>
      </c>
      <c r="J104" s="101">
        <v>2795.65</v>
      </c>
      <c r="K104" s="100">
        <v>3367.43</v>
      </c>
      <c r="L104" s="102">
        <v>3710.245</v>
      </c>
      <c r="M104" s="102">
        <v>3939.21</v>
      </c>
      <c r="N104" s="15"/>
    </row>
    <row r="105" ht="18.75" customHeight="1" spans="1:14">
      <c r="A105" s="90" t="s">
        <v>21</v>
      </c>
      <c r="B105" s="100">
        <v>1490.17</v>
      </c>
      <c r="C105" s="100">
        <v>1509.145</v>
      </c>
      <c r="D105" s="101">
        <v>1573.66</v>
      </c>
      <c r="E105" s="100">
        <v>1619.2</v>
      </c>
      <c r="F105" s="100">
        <v>1739.375</v>
      </c>
      <c r="G105" s="101">
        <v>1824.13</v>
      </c>
      <c r="H105" s="100">
        <v>1860.815</v>
      </c>
      <c r="I105" s="100">
        <v>1982.255</v>
      </c>
      <c r="J105" s="101">
        <v>2244.11</v>
      </c>
      <c r="K105" s="100">
        <v>2583.13</v>
      </c>
      <c r="L105" s="102">
        <v>2785.53</v>
      </c>
      <c r="M105" s="102">
        <v>2920.885</v>
      </c>
      <c r="N105" s="15"/>
    </row>
    <row r="106" ht="18.75" customHeight="1" spans="1:14">
      <c r="A106" s="90" t="s">
        <v>22</v>
      </c>
      <c r="B106" s="100">
        <v>1135.97</v>
      </c>
      <c r="C106" s="100">
        <v>1147.355</v>
      </c>
      <c r="D106" s="101">
        <v>1185.305</v>
      </c>
      <c r="E106" s="100">
        <v>1213.135</v>
      </c>
      <c r="F106" s="100">
        <v>1282.71</v>
      </c>
      <c r="G106" s="101">
        <v>1342.165</v>
      </c>
      <c r="H106" s="100">
        <v>1363.67</v>
      </c>
      <c r="I106" s="100">
        <v>1529.385</v>
      </c>
      <c r="J106" s="101">
        <v>1695.1</v>
      </c>
      <c r="K106" s="100">
        <v>1903.825</v>
      </c>
      <c r="L106" s="102">
        <v>2027.795</v>
      </c>
      <c r="M106" s="102">
        <v>2111.285</v>
      </c>
      <c r="N106" s="15"/>
    </row>
    <row r="107" ht="18.75" customHeight="1" spans="1:14">
      <c r="A107" s="90" t="s">
        <v>23</v>
      </c>
      <c r="B107" s="100">
        <v>3352.25</v>
      </c>
      <c r="C107" s="100">
        <v>3625.49</v>
      </c>
      <c r="D107" s="101">
        <v>3792.47</v>
      </c>
      <c r="E107" s="100">
        <v>4184.62</v>
      </c>
      <c r="F107" s="100">
        <v>4457.86</v>
      </c>
      <c r="G107" s="101">
        <v>4739.955</v>
      </c>
      <c r="H107" s="100">
        <v>5008.135</v>
      </c>
      <c r="I107" s="100">
        <v>5616.6</v>
      </c>
      <c r="J107" s="101">
        <v>6238.98</v>
      </c>
      <c r="K107" s="100">
        <v>7824.025</v>
      </c>
      <c r="L107" s="102">
        <v>8623.505</v>
      </c>
      <c r="M107" s="102">
        <v>9034.63</v>
      </c>
      <c r="N107" s="15"/>
    </row>
    <row r="108" ht="18.75" customHeight="1" spans="1:14">
      <c r="A108" s="90" t="s">
        <v>24</v>
      </c>
      <c r="B108" s="100">
        <v>3137.2</v>
      </c>
      <c r="C108" s="100">
        <v>3410.44</v>
      </c>
      <c r="D108" s="101">
        <v>3577.42</v>
      </c>
      <c r="E108" s="100">
        <v>3969.57</v>
      </c>
      <c r="F108" s="100">
        <v>4242.81</v>
      </c>
      <c r="G108" s="101">
        <v>4524.905</v>
      </c>
      <c r="H108" s="100">
        <v>4793.085</v>
      </c>
      <c r="I108" s="100">
        <v>5401.55</v>
      </c>
      <c r="J108" s="101">
        <v>6023.93</v>
      </c>
      <c r="K108" s="100">
        <v>7608.975</v>
      </c>
      <c r="L108" s="102">
        <v>8408.455</v>
      </c>
      <c r="M108" s="102">
        <v>8819.58</v>
      </c>
      <c r="N108" s="15"/>
    </row>
    <row r="109" ht="18.75" customHeight="1" spans="1:14">
      <c r="A109" s="90" t="s">
        <v>69</v>
      </c>
      <c r="B109" s="100">
        <v>4021.435</v>
      </c>
      <c r="C109" s="100">
        <v>4292.145</v>
      </c>
      <c r="D109" s="101">
        <v>4641.285</v>
      </c>
      <c r="E109" s="100">
        <v>5223.185</v>
      </c>
      <c r="F109" s="100">
        <v>5287.7</v>
      </c>
      <c r="G109" s="101">
        <v>5645.695</v>
      </c>
      <c r="H109" s="100">
        <v>5961.945</v>
      </c>
      <c r="I109" s="100">
        <v>6631.13</v>
      </c>
      <c r="J109" s="101">
        <v>7201.645</v>
      </c>
      <c r="K109" s="100">
        <v>8844.88</v>
      </c>
      <c r="L109" s="102">
        <v>9831.58</v>
      </c>
      <c r="M109" s="102">
        <v>10488.115</v>
      </c>
      <c r="N109" s="15"/>
    </row>
    <row r="110" ht="18.75" customHeight="1" spans="1:14">
      <c r="A110" s="90" t="s">
        <v>27</v>
      </c>
      <c r="B110" s="100">
        <v>5436.97</v>
      </c>
      <c r="C110" s="100">
        <v>5714.005</v>
      </c>
      <c r="D110" s="101">
        <v>5970.8</v>
      </c>
      <c r="E110" s="100">
        <v>6397.105</v>
      </c>
      <c r="F110" s="100">
        <v>6731.065</v>
      </c>
      <c r="G110" s="101">
        <v>7466.03</v>
      </c>
      <c r="H110" s="100">
        <v>8275.63</v>
      </c>
      <c r="I110" s="100">
        <v>9116.855</v>
      </c>
      <c r="J110" s="101">
        <v>10455.225</v>
      </c>
      <c r="K110" s="100">
        <v>12347.665</v>
      </c>
      <c r="L110" s="102">
        <v>13482.37</v>
      </c>
      <c r="M110" s="102">
        <v>14164.205</v>
      </c>
      <c r="N110" s="15"/>
    </row>
    <row r="111" ht="18.75" customHeight="1" spans="1:14">
      <c r="A111" s="105" t="s">
        <v>70</v>
      </c>
      <c r="B111" s="100">
        <v>9835.375</v>
      </c>
      <c r="C111" s="100">
        <v>10165.54</v>
      </c>
      <c r="D111" s="101">
        <v>10448.9</v>
      </c>
      <c r="E111" s="100">
        <v>10763.885</v>
      </c>
      <c r="F111" s="100">
        <v>11114.29</v>
      </c>
      <c r="G111" s="101">
        <v>11888.47</v>
      </c>
      <c r="H111" s="100">
        <v>12304.655</v>
      </c>
      <c r="I111" s="100">
        <v>13204.07</v>
      </c>
      <c r="J111" s="101">
        <v>14840.98</v>
      </c>
      <c r="K111" s="100">
        <v>17654.34</v>
      </c>
      <c r="L111" s="102">
        <v>19343.115</v>
      </c>
      <c r="M111" s="102">
        <v>20517.035</v>
      </c>
      <c r="N111" s="15"/>
    </row>
    <row r="112" ht="18.75" customHeight="1" spans="1:14">
      <c r="A112" s="90" t="s">
        <v>71</v>
      </c>
      <c r="B112" s="100">
        <v>1178.98</v>
      </c>
      <c r="C112" s="100">
        <v>1204.28</v>
      </c>
      <c r="D112" s="101">
        <v>1290.3</v>
      </c>
      <c r="E112" s="100">
        <v>1430.715</v>
      </c>
      <c r="F112" s="100">
        <v>1536.975</v>
      </c>
      <c r="G112" s="101">
        <v>1630.585</v>
      </c>
      <c r="H112" s="100">
        <v>1769.735</v>
      </c>
      <c r="I112" s="100">
        <v>1827.925</v>
      </c>
      <c r="J112" s="101">
        <v>2042.975</v>
      </c>
      <c r="K112" s="100">
        <v>2337.72</v>
      </c>
      <c r="L112" s="102">
        <v>2513.555</v>
      </c>
      <c r="M112" s="102">
        <v>2619.815</v>
      </c>
      <c r="N112" s="15"/>
    </row>
    <row r="113" ht="18.75" customHeight="1" spans="1:14">
      <c r="A113" s="90" t="s">
        <v>72</v>
      </c>
      <c r="B113" s="100">
        <v>3302.915</v>
      </c>
      <c r="C113" s="100">
        <v>3405.38</v>
      </c>
      <c r="D113" s="101">
        <v>3452.185</v>
      </c>
      <c r="E113" s="100">
        <v>3586.275</v>
      </c>
      <c r="F113" s="100">
        <v>3705.185</v>
      </c>
      <c r="G113" s="101">
        <v>3989.81</v>
      </c>
      <c r="H113" s="100">
        <v>4122.635</v>
      </c>
      <c r="I113" s="100">
        <v>4412.32</v>
      </c>
      <c r="J113" s="101">
        <v>4949.945</v>
      </c>
      <c r="K113" s="100">
        <v>5972.065</v>
      </c>
      <c r="L113" s="102">
        <v>6584.325</v>
      </c>
      <c r="M113" s="102">
        <v>6952.44</v>
      </c>
      <c r="N113" s="15"/>
    </row>
    <row r="114" ht="18.75" customHeight="1" spans="1:14">
      <c r="A114" s="90" t="s">
        <v>73</v>
      </c>
      <c r="B114" s="100">
        <v>1338.37</v>
      </c>
      <c r="C114" s="100">
        <v>1394.03</v>
      </c>
      <c r="D114" s="101">
        <v>1493.965</v>
      </c>
      <c r="E114" s="100">
        <v>1574.925</v>
      </c>
      <c r="F114" s="100">
        <v>1634.38</v>
      </c>
      <c r="G114" s="101">
        <v>1831.72</v>
      </c>
      <c r="H114" s="100">
        <v>1960.75</v>
      </c>
      <c r="I114" s="100">
        <v>2283.325</v>
      </c>
      <c r="J114" s="101">
        <v>2476.87</v>
      </c>
      <c r="K114" s="100">
        <v>3038.53</v>
      </c>
      <c r="L114" s="102">
        <v>3375.02</v>
      </c>
      <c r="M114" s="102">
        <v>3577.42</v>
      </c>
      <c r="N114" s="15"/>
    </row>
    <row r="115" ht="18.75" customHeight="1" spans="1:14">
      <c r="A115" s="90" t="s">
        <v>74</v>
      </c>
      <c r="B115" s="100">
        <v>1690.04</v>
      </c>
      <c r="C115" s="100">
        <v>1774.795</v>
      </c>
      <c r="D115" s="101">
        <v>1892.44</v>
      </c>
      <c r="E115" s="100">
        <v>1960.75</v>
      </c>
      <c r="F115" s="100">
        <v>2065.745</v>
      </c>
      <c r="G115" s="101">
        <v>2404.765</v>
      </c>
      <c r="H115" s="100">
        <v>2566.685</v>
      </c>
      <c r="I115" s="100">
        <v>2848.78</v>
      </c>
      <c r="J115" s="101">
        <v>3176.415</v>
      </c>
      <c r="K115" s="100">
        <v>3812.71</v>
      </c>
      <c r="L115" s="102">
        <v>4194.74</v>
      </c>
      <c r="M115" s="102">
        <v>4423.705</v>
      </c>
      <c r="N115" s="15"/>
    </row>
    <row r="116" ht="18.75" customHeight="1" spans="1:14">
      <c r="A116" s="90" t="s">
        <v>77</v>
      </c>
      <c r="B116" s="100">
        <v>2231.46</v>
      </c>
      <c r="C116" s="100">
        <v>2290.915</v>
      </c>
      <c r="D116" s="101">
        <v>2476.87</v>
      </c>
      <c r="E116" s="100">
        <v>2688.125</v>
      </c>
      <c r="F116" s="100">
        <v>2850.045</v>
      </c>
      <c r="G116" s="101">
        <v>3224.485</v>
      </c>
      <c r="H116" s="100">
        <v>3523.025</v>
      </c>
      <c r="I116" s="100">
        <v>3822.83</v>
      </c>
      <c r="J116" s="101">
        <v>4180.825</v>
      </c>
      <c r="K116" s="100">
        <v>5075.18</v>
      </c>
      <c r="L116" s="102">
        <v>5611.54</v>
      </c>
      <c r="M116" s="102">
        <v>5969.535</v>
      </c>
      <c r="N116" s="15"/>
    </row>
    <row r="117" ht="18.75" customHeight="1" spans="1:14">
      <c r="A117" s="15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5"/>
      <c r="M117" s="15"/>
      <c r="N117" s="15"/>
    </row>
    <row r="118" ht="23.25" customHeight="1" spans="1:14">
      <c r="A118" s="120" t="s">
        <v>35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5"/>
    </row>
    <row r="119" ht="18.75" customHeight="1" spans="1:14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5" t="s">
        <v>52</v>
      </c>
      <c r="N119" s="15"/>
    </row>
    <row r="120" ht="18.75" customHeight="1" spans="1:14">
      <c r="A120" s="15"/>
      <c r="B120" s="94"/>
      <c r="C120" s="94"/>
      <c r="D120" s="94"/>
      <c r="E120" s="94"/>
      <c r="F120" s="94"/>
      <c r="G120" s="94"/>
      <c r="H120" s="94"/>
      <c r="I120" s="94"/>
      <c r="J120" s="94"/>
      <c r="N120" s="15"/>
    </row>
    <row r="121" ht="21" customHeight="1" spans="1:14">
      <c r="A121" s="96" t="s">
        <v>85</v>
      </c>
      <c r="N121" s="15"/>
    </row>
    <row r="122" ht="21" customHeight="1" spans="1:14">
      <c r="A122" s="96" t="s">
        <v>76</v>
      </c>
      <c r="K122" s="15"/>
      <c r="L122" s="15"/>
      <c r="M122" s="15"/>
      <c r="N122" s="15"/>
    </row>
    <row r="123" ht="21" customHeight="1" spans="1:14">
      <c r="A123" s="91" t="s">
        <v>55</v>
      </c>
      <c r="J123" s="91"/>
      <c r="K123" s="91"/>
      <c r="L123" s="91"/>
      <c r="M123" s="91"/>
      <c r="N123" s="15"/>
    </row>
    <row r="124" ht="28.5" customHeight="1" spans="1:14">
      <c r="A124" s="98"/>
      <c r="B124" s="99" t="s">
        <v>56</v>
      </c>
      <c r="C124" s="86" t="s">
        <v>57</v>
      </c>
      <c r="D124" s="86" t="s">
        <v>58</v>
      </c>
      <c r="E124" s="86" t="s">
        <v>59</v>
      </c>
      <c r="F124" s="86" t="s">
        <v>60</v>
      </c>
      <c r="G124" s="86" t="s">
        <v>61</v>
      </c>
      <c r="H124" s="86" t="s">
        <v>62</v>
      </c>
      <c r="I124" s="86" t="s">
        <v>63</v>
      </c>
      <c r="J124" s="86" t="s">
        <v>64</v>
      </c>
      <c r="K124" s="86" t="s">
        <v>65</v>
      </c>
      <c r="L124" s="86" t="s">
        <v>66</v>
      </c>
      <c r="M124" s="86" t="s">
        <v>67</v>
      </c>
      <c r="N124" s="15"/>
    </row>
    <row r="125" ht="18.75" customHeight="1" spans="1:14">
      <c r="A125" s="90" t="s">
        <v>68</v>
      </c>
      <c r="B125" s="100">
        <v>3230.81</v>
      </c>
      <c r="C125" s="100">
        <v>3516.7</v>
      </c>
      <c r="D125" s="101">
        <v>3744.4</v>
      </c>
      <c r="E125" s="100">
        <v>4058.12</v>
      </c>
      <c r="F125" s="100">
        <v>4303.53</v>
      </c>
      <c r="G125" s="101">
        <v>4492.015</v>
      </c>
      <c r="H125" s="100">
        <v>4925.91</v>
      </c>
      <c r="I125" s="100">
        <v>5378.78</v>
      </c>
      <c r="J125" s="101">
        <v>5783.58</v>
      </c>
      <c r="K125" s="100">
        <v>7387.6</v>
      </c>
      <c r="L125" s="102">
        <v>8096</v>
      </c>
      <c r="M125" s="102">
        <v>8703.2</v>
      </c>
      <c r="N125" s="15"/>
    </row>
    <row r="126" ht="18.75" customHeight="1" spans="1:14">
      <c r="A126" s="90" t="s">
        <v>18</v>
      </c>
      <c r="B126" s="100">
        <v>2788.06</v>
      </c>
      <c r="C126" s="100">
        <v>2974.015</v>
      </c>
      <c r="D126" s="101">
        <v>3238.4</v>
      </c>
      <c r="E126" s="100">
        <v>3431.945</v>
      </c>
      <c r="F126" s="100">
        <v>3643.2</v>
      </c>
      <c r="G126" s="101">
        <v>3736.81</v>
      </c>
      <c r="H126" s="100">
        <v>4240.28</v>
      </c>
      <c r="I126" s="100">
        <v>9261.065</v>
      </c>
      <c r="J126" s="101">
        <v>4857.6</v>
      </c>
      <c r="K126" s="100">
        <v>6274.4</v>
      </c>
      <c r="L126" s="102">
        <v>6881.6</v>
      </c>
      <c r="M126" s="102">
        <v>7438.2</v>
      </c>
      <c r="N126" s="15"/>
    </row>
    <row r="127" ht="18.75" customHeight="1" spans="1:14">
      <c r="A127" s="90" t="s">
        <v>19</v>
      </c>
      <c r="B127" s="100">
        <v>2274.47</v>
      </c>
      <c r="C127" s="100">
        <v>2432.595</v>
      </c>
      <c r="D127" s="101">
        <v>2631.2</v>
      </c>
      <c r="E127" s="100">
        <v>2804.505</v>
      </c>
      <c r="F127" s="100">
        <v>2977.81</v>
      </c>
      <c r="G127" s="101">
        <v>3286.47</v>
      </c>
      <c r="H127" s="100">
        <v>3453.45</v>
      </c>
      <c r="I127" s="100">
        <v>3831.685</v>
      </c>
      <c r="J127" s="101">
        <v>4048</v>
      </c>
      <c r="K127" s="100">
        <v>5192.825</v>
      </c>
      <c r="L127" s="102">
        <v>5729.185</v>
      </c>
      <c r="M127" s="102">
        <v>6085.915</v>
      </c>
      <c r="N127" s="15"/>
    </row>
    <row r="128" ht="18.75" customHeight="1" spans="1:14">
      <c r="A128" s="90" t="s">
        <v>20</v>
      </c>
      <c r="B128" s="100">
        <v>2077.13</v>
      </c>
      <c r="C128" s="100">
        <v>2125.2</v>
      </c>
      <c r="D128" s="101">
        <v>2245.375</v>
      </c>
      <c r="E128" s="100">
        <v>2330.13</v>
      </c>
      <c r="F128" s="100">
        <v>2550.24</v>
      </c>
      <c r="G128" s="101">
        <v>2659.03</v>
      </c>
      <c r="H128" s="100">
        <v>2736.195</v>
      </c>
      <c r="I128" s="100">
        <v>2947.45</v>
      </c>
      <c r="J128" s="101">
        <v>3380.08</v>
      </c>
      <c r="K128" s="100">
        <v>3961.98</v>
      </c>
      <c r="L128" s="102">
        <v>4311.12</v>
      </c>
      <c r="M128" s="102">
        <v>4521.11</v>
      </c>
      <c r="N128" s="15"/>
    </row>
    <row r="129" ht="18.75" customHeight="1" spans="1:14">
      <c r="A129" s="90" t="s">
        <v>21</v>
      </c>
      <c r="B129" s="100">
        <v>1652.09</v>
      </c>
      <c r="C129" s="100">
        <v>1687.51</v>
      </c>
      <c r="D129" s="101">
        <v>1773.53</v>
      </c>
      <c r="E129" s="100">
        <v>1832.985</v>
      </c>
      <c r="F129" s="100">
        <v>1991.11</v>
      </c>
      <c r="G129" s="101">
        <v>2074.6</v>
      </c>
      <c r="H129" s="100">
        <v>2130.26</v>
      </c>
      <c r="I129" s="100">
        <v>2280.795</v>
      </c>
      <c r="J129" s="101">
        <v>2595.78</v>
      </c>
      <c r="K129" s="100">
        <v>3018.29</v>
      </c>
      <c r="L129" s="102">
        <v>3272.555</v>
      </c>
      <c r="M129" s="102">
        <v>3424.355</v>
      </c>
      <c r="N129" s="15"/>
    </row>
    <row r="130" ht="18.75" customHeight="1" spans="1:14">
      <c r="A130" s="90" t="s">
        <v>22</v>
      </c>
      <c r="B130" s="100">
        <v>1244.76</v>
      </c>
      <c r="C130" s="100">
        <v>1263.735</v>
      </c>
      <c r="D130" s="101">
        <v>1313.07</v>
      </c>
      <c r="E130" s="100">
        <v>1345.96</v>
      </c>
      <c r="F130" s="100">
        <v>1435.775</v>
      </c>
      <c r="G130" s="101">
        <v>1495.23</v>
      </c>
      <c r="H130" s="100">
        <v>1525.59</v>
      </c>
      <c r="I130" s="100">
        <v>1611.61</v>
      </c>
      <c r="J130" s="101">
        <v>1802.625</v>
      </c>
      <c r="K130" s="100">
        <v>2051.83</v>
      </c>
      <c r="L130" s="102">
        <v>2202.365</v>
      </c>
      <c r="M130" s="102">
        <v>2292.18</v>
      </c>
      <c r="N130" s="15"/>
    </row>
    <row r="131" ht="18.75" customHeight="1" spans="1:14">
      <c r="A131" s="90" t="s">
        <v>23</v>
      </c>
      <c r="B131" s="100">
        <v>3741.87</v>
      </c>
      <c r="C131" s="100">
        <v>3991.075</v>
      </c>
      <c r="D131" s="101">
        <v>4389.55</v>
      </c>
      <c r="E131" s="100">
        <v>4677.97</v>
      </c>
      <c r="F131" s="100">
        <v>5057.47</v>
      </c>
      <c r="G131" s="101">
        <v>5563.47</v>
      </c>
      <c r="H131" s="100">
        <v>6068.205</v>
      </c>
      <c r="I131" s="100">
        <v>6261.75</v>
      </c>
      <c r="J131" s="101">
        <v>6885.395</v>
      </c>
      <c r="K131" s="100">
        <v>8680.43</v>
      </c>
      <c r="L131" s="102">
        <v>9756.945</v>
      </c>
      <c r="M131" s="102">
        <v>10474.2</v>
      </c>
      <c r="N131" s="15"/>
    </row>
    <row r="132" ht="18.75" customHeight="1" spans="1:14">
      <c r="A132" s="90" t="s">
        <v>24</v>
      </c>
      <c r="B132" s="100">
        <v>3539.47</v>
      </c>
      <c r="C132" s="102">
        <v>3788.675</v>
      </c>
      <c r="D132" s="106">
        <v>4187.15</v>
      </c>
      <c r="E132" s="102">
        <v>4475.57</v>
      </c>
      <c r="F132" s="102">
        <v>4855.07</v>
      </c>
      <c r="G132" s="106">
        <v>5361.07</v>
      </c>
      <c r="H132" s="102">
        <v>5865.805</v>
      </c>
      <c r="I132" s="102">
        <v>6059.35</v>
      </c>
      <c r="J132" s="106">
        <v>6682.995</v>
      </c>
      <c r="K132" s="102">
        <v>8478.03</v>
      </c>
      <c r="L132" s="102">
        <v>9554.545</v>
      </c>
      <c r="M132" s="102">
        <v>10271.8</v>
      </c>
      <c r="N132" s="15"/>
    </row>
    <row r="133" ht="18.75" customHeight="1" spans="1:14">
      <c r="A133" s="90" t="s">
        <v>69</v>
      </c>
      <c r="B133" s="100">
        <v>4431.295</v>
      </c>
      <c r="C133" s="100">
        <v>4853.805</v>
      </c>
      <c r="D133" s="101">
        <v>5229.51</v>
      </c>
      <c r="E133" s="100">
        <v>5631.78</v>
      </c>
      <c r="F133" s="100">
        <v>5860.745</v>
      </c>
      <c r="G133" s="101">
        <v>6303.495</v>
      </c>
      <c r="H133" s="100">
        <v>6585.59</v>
      </c>
      <c r="I133" s="100">
        <v>7200.38</v>
      </c>
      <c r="J133" s="101">
        <v>7987.21</v>
      </c>
      <c r="K133" s="100">
        <v>9892.3</v>
      </c>
      <c r="L133" s="102">
        <v>11034.595</v>
      </c>
      <c r="M133" s="102">
        <v>11797.39</v>
      </c>
      <c r="N133" s="15"/>
    </row>
    <row r="134" ht="18.75" customHeight="1" spans="1:14">
      <c r="A134" s="90" t="s">
        <v>27</v>
      </c>
      <c r="B134" s="100">
        <v>5846.83</v>
      </c>
      <c r="C134" s="100">
        <v>6141.575</v>
      </c>
      <c r="D134" s="101">
        <v>6375.6</v>
      </c>
      <c r="E134" s="100">
        <v>6746.245</v>
      </c>
      <c r="F134" s="100">
        <v>7130.805</v>
      </c>
      <c r="G134" s="101">
        <v>7719.03</v>
      </c>
      <c r="H134" s="100">
        <v>8214.91</v>
      </c>
      <c r="I134" s="100">
        <v>9312.93</v>
      </c>
      <c r="J134" s="101">
        <v>10994.115</v>
      </c>
      <c r="K134" s="100">
        <v>13311.595</v>
      </c>
      <c r="L134" s="102">
        <v>1469.93</v>
      </c>
      <c r="M134" s="102">
        <v>15536.73</v>
      </c>
      <c r="N134" s="15"/>
    </row>
    <row r="135" ht="18.75" customHeight="1" spans="1:14">
      <c r="A135" s="105" t="s">
        <v>70</v>
      </c>
      <c r="B135" s="100">
        <v>10441.31</v>
      </c>
      <c r="C135" s="100">
        <v>10795.51</v>
      </c>
      <c r="D135" s="106">
        <v>11092.785</v>
      </c>
      <c r="E135" s="102">
        <v>11428.01</v>
      </c>
      <c r="F135" s="102">
        <v>11802.45</v>
      </c>
      <c r="G135" s="106">
        <v>12634.82</v>
      </c>
      <c r="H135" s="102">
        <v>13087.69</v>
      </c>
      <c r="I135" s="102">
        <v>14069.33</v>
      </c>
      <c r="J135" s="106">
        <v>15727.745</v>
      </c>
      <c r="K135" s="102">
        <v>18610.68</v>
      </c>
      <c r="L135" s="102">
        <v>20339.935</v>
      </c>
      <c r="M135" s="102">
        <v>21378.5</v>
      </c>
      <c r="N135" s="15"/>
    </row>
    <row r="136" ht="18.75" customHeight="1" spans="1:14">
      <c r="A136" s="90" t="s">
        <v>71</v>
      </c>
      <c r="B136" s="102">
        <v>1211.87</v>
      </c>
      <c r="C136" s="102">
        <v>1234.64</v>
      </c>
      <c r="D136" s="106">
        <v>1315.6</v>
      </c>
      <c r="E136" s="102">
        <v>1447.16</v>
      </c>
      <c r="F136" s="102">
        <v>1547.095</v>
      </c>
      <c r="G136" s="106">
        <v>1635.645</v>
      </c>
      <c r="H136" s="102">
        <v>1767.205</v>
      </c>
      <c r="I136" s="102">
        <v>1821.6</v>
      </c>
      <c r="J136" s="106">
        <v>2024</v>
      </c>
      <c r="K136" s="102">
        <v>2301.035</v>
      </c>
      <c r="L136" s="102">
        <v>2466.75</v>
      </c>
      <c r="M136" s="102">
        <v>2567.95</v>
      </c>
      <c r="N136" s="15"/>
    </row>
    <row r="137" ht="18.75" customHeight="1" spans="1:14">
      <c r="A137" s="90" t="s">
        <v>81</v>
      </c>
      <c r="B137" s="102">
        <v>3388.935</v>
      </c>
      <c r="C137" s="102">
        <v>3533.145</v>
      </c>
      <c r="D137" s="106">
        <v>3581.215</v>
      </c>
      <c r="E137" s="102">
        <v>3740.605</v>
      </c>
      <c r="F137" s="102">
        <v>3910.115</v>
      </c>
      <c r="G137" s="106">
        <v>4319.975</v>
      </c>
      <c r="H137" s="102">
        <v>4612.19</v>
      </c>
      <c r="I137" s="102">
        <v>5068.855</v>
      </c>
      <c r="J137" s="106">
        <v>5672.26</v>
      </c>
      <c r="K137" s="102">
        <v>6973.945</v>
      </c>
      <c r="L137" s="102">
        <v>7754.45</v>
      </c>
      <c r="M137" s="102">
        <v>8223.765</v>
      </c>
      <c r="N137" s="15"/>
    </row>
    <row r="138" ht="18.75" customHeight="1" spans="1:14">
      <c r="A138" s="90" t="s">
        <v>82</v>
      </c>
      <c r="B138" s="102">
        <v>4400.935</v>
      </c>
      <c r="C138" s="102">
        <v>4545.145</v>
      </c>
      <c r="D138" s="106">
        <v>4593.215</v>
      </c>
      <c r="E138" s="102">
        <v>4752.605</v>
      </c>
      <c r="F138" s="102">
        <v>4922.115</v>
      </c>
      <c r="G138" s="106">
        <v>5331.975</v>
      </c>
      <c r="H138" s="102">
        <v>5624.19</v>
      </c>
      <c r="I138" s="102">
        <v>6080.855</v>
      </c>
      <c r="J138" s="106">
        <v>6684.26</v>
      </c>
      <c r="K138" s="102">
        <v>7985.945</v>
      </c>
      <c r="L138" s="102">
        <v>8766.45</v>
      </c>
      <c r="M138" s="102">
        <v>9235.765</v>
      </c>
      <c r="N138" s="15"/>
    </row>
    <row r="139" ht="18.75" customHeight="1" spans="1:14">
      <c r="A139" s="90" t="s">
        <v>39</v>
      </c>
      <c r="B139" s="102">
        <v>3036</v>
      </c>
      <c r="C139" s="102">
        <v>3431.945</v>
      </c>
      <c r="D139" s="106">
        <v>3480.015</v>
      </c>
      <c r="E139" s="102">
        <v>3639.405</v>
      </c>
      <c r="F139" s="102">
        <v>3808.915</v>
      </c>
      <c r="G139" s="106">
        <v>4117.575</v>
      </c>
      <c r="H139" s="102">
        <v>4308.59</v>
      </c>
      <c r="I139" s="102">
        <v>4664.055</v>
      </c>
      <c r="J139" s="106">
        <v>5163.73</v>
      </c>
      <c r="K139" s="102">
        <v>6366.745</v>
      </c>
      <c r="L139" s="102">
        <v>7087.795</v>
      </c>
      <c r="M139" s="102">
        <v>7521.69</v>
      </c>
      <c r="N139" s="15"/>
    </row>
    <row r="140" ht="18.75" customHeight="1" spans="1:1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 ht="23.25" customHeight="1" spans="1:14">
      <c r="A141" s="120" t="s">
        <v>35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ht="18.75" customHeight="1" spans="1:14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5" t="s">
        <v>52</v>
      </c>
      <c r="N142" s="15"/>
    </row>
    <row r="143" ht="18.75" customHeight="1" spans="1:14">
      <c r="A143" s="15"/>
      <c r="B143" s="94"/>
      <c r="C143" s="94"/>
      <c r="D143" s="94"/>
      <c r="E143" s="94"/>
      <c r="F143" s="94"/>
      <c r="G143" s="94"/>
      <c r="H143" s="94"/>
      <c r="I143" s="94"/>
      <c r="J143" s="94"/>
      <c r="N143" s="15"/>
    </row>
    <row r="144" ht="21" customHeight="1" spans="1:14">
      <c r="A144" s="96" t="s">
        <v>86</v>
      </c>
      <c r="N144" s="15"/>
    </row>
    <row r="145" ht="21" customHeight="1" spans="1:14">
      <c r="A145" s="96" t="s">
        <v>87</v>
      </c>
      <c r="J145" s="15"/>
      <c r="K145" s="15"/>
      <c r="L145" s="15"/>
      <c r="M145" s="15"/>
      <c r="N145" s="15"/>
    </row>
    <row r="146" ht="21" customHeight="1" spans="1:14">
      <c r="A146" s="91" t="s">
        <v>55</v>
      </c>
      <c r="J146" s="91"/>
      <c r="K146" s="91"/>
      <c r="L146" s="91"/>
      <c r="M146" s="91"/>
      <c r="N146" s="15"/>
    </row>
    <row r="147" ht="28.5" customHeight="1" spans="1:14">
      <c r="A147" s="98"/>
      <c r="B147" s="99" t="s">
        <v>56</v>
      </c>
      <c r="C147" s="86" t="s">
        <v>57</v>
      </c>
      <c r="D147" s="86" t="s">
        <v>58</v>
      </c>
      <c r="E147" s="86" t="s">
        <v>59</v>
      </c>
      <c r="F147" s="86" t="s">
        <v>60</v>
      </c>
      <c r="G147" s="86" t="s">
        <v>61</v>
      </c>
      <c r="H147" s="86" t="s">
        <v>62</v>
      </c>
      <c r="I147" s="86" t="s">
        <v>63</v>
      </c>
      <c r="J147" s="86" t="s">
        <v>64</v>
      </c>
      <c r="K147" s="86" t="s">
        <v>65</v>
      </c>
      <c r="L147" s="86" t="s">
        <v>66</v>
      </c>
      <c r="M147" s="86" t="s">
        <v>67</v>
      </c>
      <c r="N147" s="15"/>
    </row>
    <row r="148" ht="18.75" customHeight="1" spans="1:14">
      <c r="A148" s="90" t="s">
        <v>68</v>
      </c>
      <c r="B148" s="100">
        <v>2662</v>
      </c>
      <c r="C148" s="100">
        <v>2843.5</v>
      </c>
      <c r="D148" s="101">
        <v>3073.4</v>
      </c>
      <c r="E148" s="100">
        <v>3196.82</v>
      </c>
      <c r="F148" s="100">
        <v>3509</v>
      </c>
      <c r="G148" s="101">
        <v>3755.84</v>
      </c>
      <c r="H148" s="100">
        <v>3993</v>
      </c>
      <c r="I148" s="100">
        <v>4296.71</v>
      </c>
      <c r="J148" s="101">
        <v>4856.94</v>
      </c>
      <c r="K148" s="100">
        <v>5701.52</v>
      </c>
      <c r="L148" s="102">
        <v>6208.51</v>
      </c>
      <c r="M148" s="102">
        <v>6546.1</v>
      </c>
      <c r="N148" s="15"/>
    </row>
    <row r="149" ht="18.75" customHeight="1" spans="1:14">
      <c r="A149" s="90" t="s">
        <v>18</v>
      </c>
      <c r="B149" s="100">
        <v>2271.17</v>
      </c>
      <c r="C149" s="100">
        <v>2420</v>
      </c>
      <c r="D149" s="101">
        <v>2596.66</v>
      </c>
      <c r="E149" s="100">
        <v>2809.62</v>
      </c>
      <c r="F149" s="100">
        <v>3002.01</v>
      </c>
      <c r="G149" s="101">
        <v>3154.47</v>
      </c>
      <c r="H149" s="100">
        <v>3239.17</v>
      </c>
      <c r="I149" s="100">
        <v>3459.39</v>
      </c>
      <c r="J149" s="101">
        <v>3886.52</v>
      </c>
      <c r="K149" s="100">
        <v>4526.61</v>
      </c>
      <c r="L149" s="102">
        <v>4910.18</v>
      </c>
      <c r="M149" s="102">
        <v>5166.7</v>
      </c>
      <c r="N149" s="15"/>
    </row>
    <row r="150" ht="18.75" customHeight="1" spans="1:14">
      <c r="A150" s="90" t="s">
        <v>19</v>
      </c>
      <c r="B150" s="100">
        <v>1862.19</v>
      </c>
      <c r="C150" s="100">
        <v>1988.03</v>
      </c>
      <c r="D150" s="101">
        <v>2118.71</v>
      </c>
      <c r="E150" s="100">
        <v>2301.42</v>
      </c>
      <c r="F150" s="100">
        <v>2429.68</v>
      </c>
      <c r="G150" s="101">
        <v>2660.79</v>
      </c>
      <c r="H150" s="100">
        <v>2717.66</v>
      </c>
      <c r="I150" s="100">
        <v>2864.07</v>
      </c>
      <c r="J150" s="101">
        <v>3158.1</v>
      </c>
      <c r="K150" s="100">
        <v>3592.49</v>
      </c>
      <c r="L150" s="102">
        <v>3852.64</v>
      </c>
      <c r="M150" s="102">
        <v>4026.88</v>
      </c>
      <c r="N150" s="15"/>
    </row>
    <row r="151" ht="18.75" customHeight="1" spans="1:14">
      <c r="A151" s="90" t="s">
        <v>20</v>
      </c>
      <c r="B151" s="100">
        <v>1543.96</v>
      </c>
      <c r="C151" s="100">
        <v>1703.68</v>
      </c>
      <c r="D151" s="101">
        <v>1796.85</v>
      </c>
      <c r="E151" s="100">
        <v>1857.35</v>
      </c>
      <c r="F151" s="100">
        <v>2029.17</v>
      </c>
      <c r="G151" s="101">
        <v>2127.18</v>
      </c>
      <c r="H151" s="100">
        <v>2170.74</v>
      </c>
      <c r="I151" s="100">
        <v>2331.67</v>
      </c>
      <c r="J151" s="101">
        <v>2548.26</v>
      </c>
      <c r="K151" s="100">
        <v>3120.59</v>
      </c>
      <c r="L151" s="102">
        <v>3391.63</v>
      </c>
      <c r="M151" s="102">
        <v>3553.77</v>
      </c>
      <c r="N151" s="15"/>
    </row>
    <row r="152" ht="18.75" customHeight="1" spans="1:14">
      <c r="A152" s="90" t="s">
        <v>21</v>
      </c>
      <c r="B152" s="100">
        <v>1241.46</v>
      </c>
      <c r="C152" s="100">
        <v>1380.61</v>
      </c>
      <c r="D152" s="101">
        <v>1443.53</v>
      </c>
      <c r="E152" s="100">
        <v>1485.88</v>
      </c>
      <c r="F152" s="100">
        <v>1606.88</v>
      </c>
      <c r="G152" s="101">
        <v>1805.32</v>
      </c>
      <c r="H152" s="100">
        <v>1834.36</v>
      </c>
      <c r="I152" s="100">
        <v>1944.47</v>
      </c>
      <c r="J152" s="101">
        <v>2186.47</v>
      </c>
      <c r="K152" s="100">
        <v>2515.59</v>
      </c>
      <c r="L152" s="102">
        <v>2712.82</v>
      </c>
      <c r="M152" s="102">
        <v>2831.4</v>
      </c>
      <c r="N152" s="15"/>
    </row>
    <row r="153" ht="18.75" customHeight="1" spans="1:14">
      <c r="A153" s="90" t="s">
        <v>22</v>
      </c>
      <c r="B153" s="100">
        <v>1040.6</v>
      </c>
      <c r="C153" s="100">
        <v>1172.49</v>
      </c>
      <c r="D153" s="101">
        <v>1210</v>
      </c>
      <c r="E153" s="100">
        <v>1236.62</v>
      </c>
      <c r="F153" s="100">
        <v>1309.22</v>
      </c>
      <c r="G153" s="101">
        <v>1364.88</v>
      </c>
      <c r="H153" s="100">
        <v>1383.03</v>
      </c>
      <c r="I153" s="100">
        <v>1449.58</v>
      </c>
      <c r="J153" s="101">
        <v>1604.46</v>
      </c>
      <c r="K153" s="100">
        <v>1805.32</v>
      </c>
      <c r="L153" s="102">
        <v>1926.32</v>
      </c>
      <c r="M153" s="102">
        <v>1997.71</v>
      </c>
      <c r="N153" s="15"/>
    </row>
    <row r="154" ht="18.75" customHeight="1" spans="1:14">
      <c r="A154" s="90" t="s">
        <v>23</v>
      </c>
      <c r="B154" s="100">
        <v>3061.3</v>
      </c>
      <c r="C154" s="100">
        <v>3239.17</v>
      </c>
      <c r="D154" s="101">
        <v>3418.25</v>
      </c>
      <c r="E154" s="100">
        <v>3609.43</v>
      </c>
      <c r="F154" s="100">
        <v>3669.93</v>
      </c>
      <c r="G154" s="101">
        <v>3851.43</v>
      </c>
      <c r="H154" s="100">
        <v>4174.5</v>
      </c>
      <c r="I154" s="100">
        <v>4658.5</v>
      </c>
      <c r="J154" s="101">
        <v>5487.35</v>
      </c>
      <c r="K154" s="100">
        <v>6723.97</v>
      </c>
      <c r="L154" s="102">
        <v>7465.7</v>
      </c>
      <c r="M154" s="102">
        <v>7960.59</v>
      </c>
      <c r="N154" s="15"/>
    </row>
    <row r="155" ht="18.75" customHeight="1" spans="1:14">
      <c r="A155" s="90" t="s">
        <v>24</v>
      </c>
      <c r="B155" s="100">
        <v>2819.3</v>
      </c>
      <c r="C155" s="100">
        <v>2997.17</v>
      </c>
      <c r="D155" s="101">
        <v>3176.25</v>
      </c>
      <c r="E155" s="100">
        <v>3367.43</v>
      </c>
      <c r="F155" s="100">
        <v>3427.93</v>
      </c>
      <c r="G155" s="101">
        <v>3609.43</v>
      </c>
      <c r="H155" s="100">
        <v>3932.5</v>
      </c>
      <c r="I155" s="100">
        <v>4416.5</v>
      </c>
      <c r="J155" s="101">
        <v>5245.35</v>
      </c>
      <c r="K155" s="100">
        <v>6481.97</v>
      </c>
      <c r="L155" s="102">
        <v>7223.7</v>
      </c>
      <c r="M155" s="102">
        <v>7718.59</v>
      </c>
      <c r="N155" s="15"/>
    </row>
    <row r="156" ht="18.75" customHeight="1" spans="1:14">
      <c r="A156" s="90" t="s">
        <v>69</v>
      </c>
      <c r="B156" s="100">
        <v>4369.31</v>
      </c>
      <c r="C156" s="100">
        <v>4541.13</v>
      </c>
      <c r="D156" s="101">
        <v>4800.07</v>
      </c>
      <c r="E156" s="100">
        <v>5279.23</v>
      </c>
      <c r="F156" s="100">
        <v>5501.87</v>
      </c>
      <c r="G156" s="101">
        <v>5881.81</v>
      </c>
      <c r="H156" s="100">
        <v>6224.24</v>
      </c>
      <c r="I156" s="100">
        <v>6946.61</v>
      </c>
      <c r="J156" s="101">
        <v>7423.35</v>
      </c>
      <c r="K156" s="100">
        <v>9165.75</v>
      </c>
      <c r="L156" s="102">
        <v>10211.19</v>
      </c>
      <c r="M156" s="102">
        <v>10908.15</v>
      </c>
      <c r="N156" s="15"/>
    </row>
    <row r="157" ht="18.75" customHeight="1" spans="1:14">
      <c r="A157" s="90" t="s">
        <v>27</v>
      </c>
      <c r="B157" s="100">
        <v>5661.59</v>
      </c>
      <c r="C157" s="100">
        <v>5817.68</v>
      </c>
      <c r="D157" s="101">
        <v>6066.94</v>
      </c>
      <c r="E157" s="100">
        <v>6618.7</v>
      </c>
      <c r="F157" s="100">
        <v>6828.03</v>
      </c>
      <c r="G157" s="101">
        <v>7575.81</v>
      </c>
      <c r="H157" s="100">
        <v>8197.75</v>
      </c>
      <c r="I157" s="100">
        <v>8917.7</v>
      </c>
      <c r="J157" s="101">
        <v>10410.84</v>
      </c>
      <c r="K157" s="100">
        <v>12195.59</v>
      </c>
      <c r="L157" s="102">
        <v>13266.44</v>
      </c>
      <c r="M157" s="102">
        <v>13908.95</v>
      </c>
      <c r="N157" s="15"/>
    </row>
    <row r="158" ht="18.75" customHeight="1" spans="1:14">
      <c r="A158" s="105" t="s">
        <v>70</v>
      </c>
      <c r="B158" s="100">
        <v>10513.69</v>
      </c>
      <c r="C158" s="100">
        <v>10841.6</v>
      </c>
      <c r="D158" s="101">
        <v>11117.48</v>
      </c>
      <c r="E158" s="100">
        <v>11426.03</v>
      </c>
      <c r="F158" s="100">
        <v>11773.3</v>
      </c>
      <c r="G158" s="101">
        <v>12563.43</v>
      </c>
      <c r="H158" s="100">
        <v>12982.09</v>
      </c>
      <c r="I158" s="100">
        <v>13884.75</v>
      </c>
      <c r="J158" s="101">
        <v>15571.49</v>
      </c>
      <c r="K158" s="100">
        <v>18361.75</v>
      </c>
      <c r="L158" s="102">
        <v>20036.39</v>
      </c>
      <c r="M158" s="102">
        <v>12342</v>
      </c>
      <c r="N158" s="15"/>
    </row>
    <row r="159" ht="18.75" customHeight="1" spans="1:14">
      <c r="A159" s="90" t="s">
        <v>71</v>
      </c>
      <c r="B159" s="100">
        <v>1194.27</v>
      </c>
      <c r="C159" s="100">
        <v>1219.68</v>
      </c>
      <c r="D159" s="101">
        <v>1306.8</v>
      </c>
      <c r="E159" s="100">
        <v>1448.37</v>
      </c>
      <c r="F159" s="100">
        <v>1556.06</v>
      </c>
      <c r="G159" s="101">
        <v>1650.44</v>
      </c>
      <c r="H159" s="100">
        <v>1792.01</v>
      </c>
      <c r="I159" s="100">
        <v>1851.3</v>
      </c>
      <c r="J159" s="101">
        <v>2069.1</v>
      </c>
      <c r="K159" s="100">
        <v>2367.97</v>
      </c>
      <c r="L159" s="102">
        <v>2547.05</v>
      </c>
      <c r="M159" s="102">
        <v>2653.53</v>
      </c>
      <c r="N159" s="15"/>
    </row>
    <row r="160" ht="18.75" customHeight="1" spans="1:14">
      <c r="A160" s="90" t="s">
        <v>72</v>
      </c>
      <c r="B160" s="100">
        <v>3559.82</v>
      </c>
      <c r="C160" s="100">
        <v>3667.51</v>
      </c>
      <c r="D160" s="101">
        <v>3712.28</v>
      </c>
      <c r="E160" s="100">
        <v>3855.06</v>
      </c>
      <c r="F160" s="100">
        <v>3982.11</v>
      </c>
      <c r="G160" s="101">
        <v>4287.03</v>
      </c>
      <c r="H160" s="100">
        <v>4428.6</v>
      </c>
      <c r="I160" s="100">
        <v>4738.36</v>
      </c>
      <c r="J160" s="101">
        <v>5319.16</v>
      </c>
      <c r="K160" s="100">
        <v>6416.63</v>
      </c>
      <c r="L160" s="102">
        <v>7074.87</v>
      </c>
      <c r="M160" s="102">
        <v>7470.54</v>
      </c>
      <c r="N160" s="15"/>
    </row>
    <row r="161" ht="18.75" customHeight="1" spans="1:14">
      <c r="A161" s="90" t="s">
        <v>73</v>
      </c>
      <c r="B161" s="100">
        <v>1343.1</v>
      </c>
      <c r="C161" s="100">
        <v>1386.66</v>
      </c>
      <c r="D161" s="101">
        <v>1468.94</v>
      </c>
      <c r="E161" s="100">
        <v>1626.24</v>
      </c>
      <c r="F161" s="100">
        <v>1691.58</v>
      </c>
      <c r="G161" s="101">
        <v>1883.97</v>
      </c>
      <c r="H161" s="100">
        <v>2057</v>
      </c>
      <c r="I161" s="100">
        <v>2354.66</v>
      </c>
      <c r="J161" s="101">
        <v>2548.26</v>
      </c>
      <c r="K161" s="100">
        <v>3016.53</v>
      </c>
      <c r="L161" s="102">
        <v>3297.25</v>
      </c>
      <c r="M161" s="102">
        <v>3466.65</v>
      </c>
      <c r="N161" s="15"/>
    </row>
    <row r="162" ht="18.75" customHeight="1" spans="1:14">
      <c r="A162" s="90" t="s">
        <v>74</v>
      </c>
      <c r="B162" s="100">
        <v>1769.02</v>
      </c>
      <c r="C162" s="100">
        <v>1830.73</v>
      </c>
      <c r="D162" s="101">
        <v>2044.9</v>
      </c>
      <c r="E162" s="100">
        <v>2095.72</v>
      </c>
      <c r="F162" s="100">
        <v>2238.5</v>
      </c>
      <c r="G162" s="101">
        <v>2580.93</v>
      </c>
      <c r="H162" s="100">
        <v>2709.19</v>
      </c>
      <c r="I162" s="100">
        <v>2975.39</v>
      </c>
      <c r="J162" s="101">
        <v>3189.56</v>
      </c>
      <c r="K162" s="100">
        <v>3882.89</v>
      </c>
      <c r="L162" s="102">
        <v>4299.13</v>
      </c>
      <c r="M162" s="102">
        <v>4548.39</v>
      </c>
      <c r="N162" s="15"/>
    </row>
    <row r="163" ht="18.75" customHeight="1" spans="1:14">
      <c r="A163" s="15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5"/>
      <c r="M163" s="15"/>
      <c r="N163" s="15"/>
    </row>
    <row r="164" ht="23.25" customHeight="1" spans="1:14">
      <c r="A164" s="120" t="s">
        <v>35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5"/>
    </row>
    <row r="165" ht="18.75" customHeight="1" spans="1:14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5" t="s">
        <v>52</v>
      </c>
      <c r="N165" s="15"/>
    </row>
    <row r="166" ht="18.75" customHeight="1" spans="1:14">
      <c r="A166" s="15"/>
      <c r="B166" s="94"/>
      <c r="C166" s="94"/>
      <c r="D166" s="94"/>
      <c r="E166" s="94"/>
      <c r="F166" s="94"/>
      <c r="G166" s="94"/>
      <c r="H166" s="94"/>
      <c r="I166" s="94"/>
      <c r="J166" s="94"/>
      <c r="N166" s="15"/>
    </row>
    <row r="167" ht="21" customHeight="1" spans="1:14">
      <c r="A167" s="96" t="s">
        <v>88</v>
      </c>
      <c r="N167" s="15"/>
    </row>
    <row r="168" ht="21" customHeight="1" spans="1:14">
      <c r="A168" s="96" t="s">
        <v>87</v>
      </c>
      <c r="J168" s="15"/>
      <c r="K168" s="15"/>
      <c r="L168" s="15"/>
      <c r="M168" s="15"/>
      <c r="N168" s="15"/>
    </row>
    <row r="169" ht="21" customHeight="1" spans="1:14">
      <c r="A169" s="91" t="s">
        <v>55</v>
      </c>
      <c r="J169" s="91"/>
      <c r="K169" s="91"/>
      <c r="L169" s="91"/>
      <c r="M169" s="91"/>
      <c r="N169" s="15"/>
    </row>
    <row r="170" ht="28.5" customHeight="1" spans="1:14">
      <c r="A170" s="98"/>
      <c r="B170" s="99" t="s">
        <v>56</v>
      </c>
      <c r="C170" s="86" t="s">
        <v>57</v>
      </c>
      <c r="D170" s="86" t="s">
        <v>58</v>
      </c>
      <c r="E170" s="86" t="s">
        <v>59</v>
      </c>
      <c r="F170" s="86" t="s">
        <v>60</v>
      </c>
      <c r="G170" s="86" t="s">
        <v>61</v>
      </c>
      <c r="H170" s="86" t="s">
        <v>62</v>
      </c>
      <c r="I170" s="86" t="s">
        <v>63</v>
      </c>
      <c r="J170" s="86" t="s">
        <v>64</v>
      </c>
      <c r="K170" s="86" t="s">
        <v>65</v>
      </c>
      <c r="L170" s="86" t="s">
        <v>66</v>
      </c>
      <c r="M170" s="86" t="s">
        <v>67</v>
      </c>
      <c r="N170" s="15"/>
    </row>
    <row r="171" ht="18.75" customHeight="1" spans="1:14">
      <c r="A171" s="90" t="s">
        <v>68</v>
      </c>
      <c r="B171" s="100">
        <v>3206.5</v>
      </c>
      <c r="C171" s="100">
        <v>3363.8</v>
      </c>
      <c r="D171" s="101">
        <v>3651.78</v>
      </c>
      <c r="E171" s="100">
        <v>4078.91</v>
      </c>
      <c r="F171" s="100">
        <v>4235</v>
      </c>
      <c r="G171" s="101">
        <v>4346.32</v>
      </c>
      <c r="H171" s="100">
        <v>5268.34</v>
      </c>
      <c r="I171" s="100">
        <v>5532.12</v>
      </c>
      <c r="J171" s="101">
        <v>5803.16</v>
      </c>
      <c r="K171" s="100">
        <v>7381</v>
      </c>
      <c r="L171" s="100">
        <v>8327.22</v>
      </c>
      <c r="M171" s="100">
        <v>8958.84</v>
      </c>
      <c r="N171" s="15"/>
    </row>
    <row r="172" ht="18.75" customHeight="1" spans="1:14">
      <c r="A172" s="90" t="s">
        <v>18</v>
      </c>
      <c r="B172" s="100">
        <v>2662</v>
      </c>
      <c r="C172" s="100">
        <v>2835.03</v>
      </c>
      <c r="D172" s="101">
        <v>3107.28</v>
      </c>
      <c r="E172" s="100">
        <v>3509</v>
      </c>
      <c r="F172" s="100">
        <v>3630</v>
      </c>
      <c r="G172" s="101">
        <v>3738.9</v>
      </c>
      <c r="H172" s="100">
        <v>4481.84</v>
      </c>
      <c r="I172" s="100">
        <v>4719</v>
      </c>
      <c r="J172" s="101">
        <v>4895.66</v>
      </c>
      <c r="K172" s="100">
        <v>6292</v>
      </c>
      <c r="L172" s="100">
        <v>7129.32</v>
      </c>
      <c r="M172" s="100">
        <v>7688.34</v>
      </c>
      <c r="N172" s="15"/>
    </row>
    <row r="173" ht="18.75" customHeight="1" spans="1:14">
      <c r="A173" s="90" t="s">
        <v>19</v>
      </c>
      <c r="B173" s="100">
        <v>2209.46</v>
      </c>
      <c r="C173" s="100">
        <v>2299</v>
      </c>
      <c r="D173" s="101">
        <v>2541</v>
      </c>
      <c r="E173" s="100">
        <v>2827.77</v>
      </c>
      <c r="F173" s="100">
        <v>2964.5</v>
      </c>
      <c r="G173" s="101">
        <v>3025</v>
      </c>
      <c r="H173" s="100">
        <v>3695.34</v>
      </c>
      <c r="I173" s="100">
        <v>3893.78</v>
      </c>
      <c r="J173" s="101">
        <v>4043.82</v>
      </c>
      <c r="K173" s="100">
        <v>5285.28</v>
      </c>
      <c r="L173" s="100">
        <v>6030.64</v>
      </c>
      <c r="M173" s="100">
        <v>6526.74</v>
      </c>
      <c r="N173" s="15"/>
    </row>
    <row r="174" ht="18.75" customHeight="1" spans="1:14">
      <c r="A174" s="90" t="s">
        <v>20</v>
      </c>
      <c r="B174" s="100">
        <v>1781.12</v>
      </c>
      <c r="C174" s="100">
        <v>1817.42</v>
      </c>
      <c r="D174" s="101">
        <v>2011.02</v>
      </c>
      <c r="E174" s="100">
        <v>2374.02</v>
      </c>
      <c r="F174" s="100">
        <v>2459.93</v>
      </c>
      <c r="G174" s="101">
        <v>2541</v>
      </c>
      <c r="H174" s="100">
        <v>2891.9</v>
      </c>
      <c r="I174" s="100">
        <v>3115.75</v>
      </c>
      <c r="J174" s="101">
        <v>3567.08</v>
      </c>
      <c r="K174" s="100">
        <v>4190.23</v>
      </c>
      <c r="L174" s="100">
        <v>4564.12</v>
      </c>
      <c r="M174" s="100">
        <v>4787.97</v>
      </c>
      <c r="N174" s="15"/>
    </row>
    <row r="175" ht="18.75" customHeight="1" spans="1:14">
      <c r="A175" s="90" t="s">
        <v>21</v>
      </c>
      <c r="B175" s="100">
        <v>1452</v>
      </c>
      <c r="C175" s="100">
        <v>1575.42</v>
      </c>
      <c r="D175" s="101">
        <v>1694</v>
      </c>
      <c r="E175" s="100">
        <v>1842.83</v>
      </c>
      <c r="F175" s="100">
        <v>2012.23</v>
      </c>
      <c r="G175" s="101">
        <v>2213.09</v>
      </c>
      <c r="H175" s="100">
        <v>2274.8</v>
      </c>
      <c r="I175" s="100">
        <v>2434.52</v>
      </c>
      <c r="J175" s="101">
        <v>2764.85</v>
      </c>
      <c r="K175" s="100">
        <v>3217.39</v>
      </c>
      <c r="L175" s="100">
        <v>3488.43</v>
      </c>
      <c r="M175" s="100">
        <v>3651.78</v>
      </c>
      <c r="N175" s="15"/>
    </row>
    <row r="176" ht="18.75" customHeight="1" spans="1:14">
      <c r="A176" s="90" t="s">
        <v>22</v>
      </c>
      <c r="B176" s="100">
        <v>1253.56</v>
      </c>
      <c r="C176" s="100">
        <v>1303.17</v>
      </c>
      <c r="D176" s="101">
        <v>1448.37</v>
      </c>
      <c r="E176" s="100">
        <v>1483.46</v>
      </c>
      <c r="F176" s="100">
        <v>1585.1</v>
      </c>
      <c r="G176" s="101">
        <v>1645.6</v>
      </c>
      <c r="H176" s="100">
        <v>1678.27</v>
      </c>
      <c r="I176" s="100">
        <v>1769.02</v>
      </c>
      <c r="J176" s="101">
        <v>1971.09</v>
      </c>
      <c r="K176" s="100">
        <v>2245.76</v>
      </c>
      <c r="L176" s="100">
        <v>2410.32</v>
      </c>
      <c r="M176" s="100">
        <v>2509.54</v>
      </c>
      <c r="N176" s="15"/>
    </row>
    <row r="177" ht="18.75" customHeight="1" spans="1:14">
      <c r="A177" s="90" t="s">
        <v>23</v>
      </c>
      <c r="B177" s="100">
        <v>3398.89</v>
      </c>
      <c r="C177" s="100">
        <v>3717.12</v>
      </c>
      <c r="D177" s="101">
        <v>4156.35</v>
      </c>
      <c r="E177" s="100">
        <v>4493.94</v>
      </c>
      <c r="F177" s="100">
        <v>4941.64</v>
      </c>
      <c r="G177" s="101">
        <v>5530.91</v>
      </c>
      <c r="H177" s="100">
        <v>6125.02</v>
      </c>
      <c r="I177" s="100">
        <v>6340.4</v>
      </c>
      <c r="J177" s="101">
        <v>7134.16</v>
      </c>
      <c r="K177" s="100">
        <v>9233.51</v>
      </c>
      <c r="L177" s="100">
        <v>10493.12</v>
      </c>
      <c r="M177" s="100">
        <v>11332.86</v>
      </c>
      <c r="N177" s="15"/>
    </row>
    <row r="178" ht="18.75" customHeight="1" spans="1:14">
      <c r="A178" s="90" t="s">
        <v>24</v>
      </c>
      <c r="B178" s="100">
        <v>3156.89</v>
      </c>
      <c r="C178" s="100">
        <v>3475.12</v>
      </c>
      <c r="D178" s="101">
        <v>3914.35</v>
      </c>
      <c r="E178" s="100">
        <v>4251.94</v>
      </c>
      <c r="F178" s="100">
        <v>4699.64</v>
      </c>
      <c r="G178" s="101">
        <v>5288.91</v>
      </c>
      <c r="H178" s="100">
        <v>5883.02</v>
      </c>
      <c r="I178" s="100">
        <v>6098.4</v>
      </c>
      <c r="J178" s="101">
        <v>6892.16</v>
      </c>
      <c r="K178" s="100">
        <v>8991.51</v>
      </c>
      <c r="L178" s="100">
        <v>10251.12</v>
      </c>
      <c r="M178" s="100">
        <v>11090.86</v>
      </c>
      <c r="N178" s="15"/>
    </row>
    <row r="179" ht="18.75" customHeight="1" spans="1:14">
      <c r="A179" s="90" t="s">
        <v>69</v>
      </c>
      <c r="B179" s="100">
        <v>4902.92</v>
      </c>
      <c r="C179" s="100">
        <v>5274.39</v>
      </c>
      <c r="D179" s="101">
        <v>5711.2</v>
      </c>
      <c r="E179" s="100">
        <v>6179.47</v>
      </c>
      <c r="F179" s="100">
        <v>6484.39</v>
      </c>
      <c r="G179" s="101">
        <v>6988.96</v>
      </c>
      <c r="H179" s="100">
        <v>7289.04</v>
      </c>
      <c r="I179" s="100">
        <v>7966.64</v>
      </c>
      <c r="J179" s="101">
        <v>8935.85</v>
      </c>
      <c r="K179" s="100">
        <v>10053.89</v>
      </c>
      <c r="L179" s="100">
        <v>11219.12</v>
      </c>
      <c r="M179" s="100">
        <v>12058.86</v>
      </c>
      <c r="N179" s="15"/>
    </row>
    <row r="180" ht="18.75" customHeight="1" spans="1:14">
      <c r="A180" s="90" t="s">
        <v>27</v>
      </c>
      <c r="B180" s="100">
        <v>6525.53</v>
      </c>
      <c r="C180" s="100">
        <v>6923.62</v>
      </c>
      <c r="D180" s="101">
        <v>7148.68</v>
      </c>
      <c r="E180" s="100">
        <v>7580.65</v>
      </c>
      <c r="F180" s="100">
        <v>7925.5</v>
      </c>
      <c r="G180" s="101">
        <v>8764.03</v>
      </c>
      <c r="H180" s="100">
        <v>9307.32</v>
      </c>
      <c r="I180" s="100">
        <v>10514.9</v>
      </c>
      <c r="J180" s="101">
        <v>12511.4</v>
      </c>
      <c r="K180" s="100">
        <v>15179.45</v>
      </c>
      <c r="L180" s="100">
        <v>16780.28</v>
      </c>
      <c r="M180" s="100">
        <v>17741.02</v>
      </c>
      <c r="N180" s="15"/>
    </row>
    <row r="181" ht="18.75" customHeight="1" spans="1:14">
      <c r="A181" s="105" t="s">
        <v>70</v>
      </c>
      <c r="B181" s="100">
        <v>12040.71</v>
      </c>
      <c r="C181" s="100">
        <v>12431.54</v>
      </c>
      <c r="D181" s="101">
        <v>12750.98</v>
      </c>
      <c r="E181" s="100">
        <v>49413.98</v>
      </c>
      <c r="F181" s="100">
        <v>13525.38</v>
      </c>
      <c r="G181" s="101">
        <v>14455.87</v>
      </c>
      <c r="H181" s="100">
        <v>14956.81</v>
      </c>
      <c r="I181" s="100">
        <v>16042.18</v>
      </c>
      <c r="J181" s="101">
        <v>17899.53</v>
      </c>
      <c r="K181" s="100">
        <v>21043.11</v>
      </c>
      <c r="L181" s="100">
        <v>22929.5</v>
      </c>
      <c r="M181" s="100">
        <v>24060.85</v>
      </c>
      <c r="N181" s="15"/>
    </row>
    <row r="182" ht="18.75" customHeight="1" spans="1:14">
      <c r="A182" s="90" t="s">
        <v>32</v>
      </c>
      <c r="B182" s="100">
        <v>1407.23</v>
      </c>
      <c r="C182" s="100">
        <v>1435.06</v>
      </c>
      <c r="D182" s="101">
        <v>1465.31</v>
      </c>
      <c r="E182" s="100">
        <v>1614.14</v>
      </c>
      <c r="F182" s="100">
        <v>1762.97</v>
      </c>
      <c r="G182" s="101">
        <v>1844.04</v>
      </c>
      <c r="H182" s="100">
        <v>1996.5</v>
      </c>
      <c r="I182" s="100">
        <v>2060.63</v>
      </c>
      <c r="J182" s="101">
        <v>2272.38</v>
      </c>
      <c r="K182" s="100">
        <v>2527.69</v>
      </c>
      <c r="L182" s="100">
        <v>2681.36</v>
      </c>
      <c r="M182" s="100">
        <v>2773.32</v>
      </c>
      <c r="N182" s="15"/>
    </row>
    <row r="183" ht="18.75" customHeight="1" spans="1:14">
      <c r="A183" s="90" t="s">
        <v>81</v>
      </c>
      <c r="B183" s="100">
        <v>3986.95</v>
      </c>
      <c r="C183" s="100">
        <v>4118.84</v>
      </c>
      <c r="D183" s="101">
        <v>4156.35</v>
      </c>
      <c r="E183" s="100">
        <v>4313.65</v>
      </c>
      <c r="F183" s="100">
        <v>4468.53</v>
      </c>
      <c r="G183" s="101">
        <v>4905.34</v>
      </c>
      <c r="H183" s="100">
        <v>5299.8</v>
      </c>
      <c r="I183" s="100">
        <v>5703.94</v>
      </c>
      <c r="J183" s="101">
        <v>6292</v>
      </c>
      <c r="K183" s="100">
        <v>7901.3</v>
      </c>
      <c r="L183" s="100">
        <v>8866.88</v>
      </c>
      <c r="M183" s="100">
        <v>9446.47</v>
      </c>
      <c r="N183" s="15"/>
    </row>
    <row r="184" ht="18.75" customHeight="1" spans="1:14">
      <c r="A184" s="90" t="s">
        <v>82</v>
      </c>
      <c r="B184" s="100">
        <v>4858.15</v>
      </c>
      <c r="C184" s="100">
        <v>5046.91</v>
      </c>
      <c r="D184" s="101">
        <v>5083.21</v>
      </c>
      <c r="E184" s="100">
        <v>5304.64</v>
      </c>
      <c r="F184" s="100">
        <v>5523.65</v>
      </c>
      <c r="G184" s="101">
        <v>5951.99</v>
      </c>
      <c r="H184" s="100">
        <v>6183.1</v>
      </c>
      <c r="I184" s="100">
        <v>6676.78</v>
      </c>
      <c r="J184" s="101">
        <v>7447.55</v>
      </c>
      <c r="K184" s="100">
        <v>9130.66</v>
      </c>
      <c r="L184" s="100">
        <v>10141.01</v>
      </c>
      <c r="M184" s="100">
        <v>10746.01</v>
      </c>
      <c r="N184" s="15"/>
    </row>
    <row r="185" ht="18.75" customHeight="1" spans="1:14">
      <c r="A185" s="90" t="s">
        <v>39</v>
      </c>
      <c r="B185" s="100">
        <v>3303.3</v>
      </c>
      <c r="C185" s="100">
        <v>3346.86</v>
      </c>
      <c r="D185" s="101">
        <v>3442.45</v>
      </c>
      <c r="E185" s="100">
        <v>3770.36</v>
      </c>
      <c r="F185" s="100">
        <v>3984.53</v>
      </c>
      <c r="G185" s="101">
        <v>4319.7</v>
      </c>
      <c r="H185" s="100">
        <v>4381.41</v>
      </c>
      <c r="I185" s="100">
        <v>4549.6</v>
      </c>
      <c r="J185" s="101">
        <v>4916.23</v>
      </c>
      <c r="K185" s="100">
        <v>5748.71</v>
      </c>
      <c r="L185" s="100">
        <v>6248.44</v>
      </c>
      <c r="M185" s="100">
        <v>6547.31</v>
      </c>
      <c r="N185" s="15"/>
    </row>
    <row r="186" ht="18.75" customHeight="1" spans="1:14">
      <c r="A186" s="15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5"/>
      <c r="M186" s="15"/>
      <c r="N186" s="15"/>
    </row>
    <row r="187" ht="23.25" customHeight="1" spans="1:14">
      <c r="A187" s="120" t="s">
        <v>35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5"/>
    </row>
    <row r="188" ht="18.75" customHeight="1" spans="1:14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5" t="s">
        <v>52</v>
      </c>
      <c r="N188" s="15"/>
    </row>
    <row r="189" ht="18.75" customHeight="1" spans="1:14">
      <c r="A189" s="15"/>
      <c r="B189" s="94"/>
      <c r="C189" s="94"/>
      <c r="D189" s="94"/>
      <c r="E189" s="94"/>
      <c r="F189" s="94"/>
      <c r="G189" s="94"/>
      <c r="H189" s="94"/>
      <c r="I189" s="94"/>
      <c r="J189" s="94"/>
      <c r="N189" s="15"/>
    </row>
    <row r="190" ht="21" customHeight="1" spans="1:14">
      <c r="A190" s="96" t="s">
        <v>86</v>
      </c>
      <c r="N190" s="15"/>
    </row>
    <row r="191" ht="21" customHeight="1" spans="1:14">
      <c r="A191" s="96" t="s">
        <v>89</v>
      </c>
      <c r="K191" s="15"/>
      <c r="L191" s="15"/>
      <c r="M191" s="15"/>
      <c r="N191" s="15"/>
    </row>
    <row r="192" ht="21" customHeight="1" spans="1:14">
      <c r="A192" s="91" t="s">
        <v>55</v>
      </c>
      <c r="J192" s="91"/>
      <c r="K192" s="91"/>
      <c r="L192" s="91"/>
      <c r="M192" s="91"/>
      <c r="N192" s="15"/>
    </row>
    <row r="193" ht="28.5" customHeight="1" spans="1:14">
      <c r="A193" s="98"/>
      <c r="B193" s="99" t="s">
        <v>56</v>
      </c>
      <c r="C193" s="86" t="s">
        <v>57</v>
      </c>
      <c r="D193" s="86" t="s">
        <v>58</v>
      </c>
      <c r="E193" s="86" t="s">
        <v>59</v>
      </c>
      <c r="F193" s="86" t="s">
        <v>60</v>
      </c>
      <c r="G193" s="86" t="s">
        <v>61</v>
      </c>
      <c r="H193" s="86" t="s">
        <v>62</v>
      </c>
      <c r="I193" s="86" t="s">
        <v>63</v>
      </c>
      <c r="J193" s="86" t="s">
        <v>64</v>
      </c>
      <c r="K193" s="86" t="s">
        <v>65</v>
      </c>
      <c r="L193" s="86" t="s">
        <v>66</v>
      </c>
      <c r="M193" s="86" t="s">
        <v>67</v>
      </c>
      <c r="N193" s="15"/>
    </row>
    <row r="194" ht="18.75" customHeight="1" spans="1:14">
      <c r="A194" s="90" t="s">
        <v>68</v>
      </c>
      <c r="B194" s="100">
        <v>3486.34</v>
      </c>
      <c r="C194" s="100">
        <v>3544.53</v>
      </c>
      <c r="D194" s="101">
        <v>3798.795</v>
      </c>
      <c r="E194" s="100">
        <v>4106.19</v>
      </c>
      <c r="F194" s="100">
        <v>4427.5</v>
      </c>
      <c r="G194" s="101">
        <v>4617.25</v>
      </c>
      <c r="H194" s="100">
        <v>4842.42</v>
      </c>
      <c r="I194" s="100">
        <v>5313</v>
      </c>
      <c r="J194" s="101">
        <v>5819</v>
      </c>
      <c r="K194" s="100">
        <v>7084</v>
      </c>
      <c r="L194" s="102">
        <v>7843</v>
      </c>
      <c r="M194" s="102">
        <v>8349</v>
      </c>
      <c r="N194" s="15"/>
    </row>
    <row r="195" ht="18.75" customHeight="1" spans="1:14">
      <c r="A195" s="90" t="s">
        <v>18</v>
      </c>
      <c r="B195" s="100">
        <v>2857.635</v>
      </c>
      <c r="C195" s="100">
        <v>3075.215</v>
      </c>
      <c r="D195" s="101">
        <v>3338.335</v>
      </c>
      <c r="E195" s="100">
        <v>3571.095</v>
      </c>
      <c r="F195" s="100">
        <v>3783.615</v>
      </c>
      <c r="G195" s="101">
        <v>3964.51</v>
      </c>
      <c r="H195" s="100">
        <v>4190.945</v>
      </c>
      <c r="I195" s="100">
        <v>4788.025</v>
      </c>
      <c r="J195" s="101">
        <v>4928.44</v>
      </c>
      <c r="K195" s="100">
        <v>6072</v>
      </c>
      <c r="L195" s="102">
        <v>6603.3</v>
      </c>
      <c r="M195" s="102">
        <v>6987.86</v>
      </c>
      <c r="N195" s="15"/>
    </row>
    <row r="196" ht="18.75" customHeight="1" spans="1:14">
      <c r="A196" s="90" t="s">
        <v>19</v>
      </c>
      <c r="B196" s="100">
        <v>2226.4</v>
      </c>
      <c r="C196" s="100">
        <v>2413.62</v>
      </c>
      <c r="D196" s="101">
        <v>2631.2</v>
      </c>
      <c r="E196" s="100">
        <v>2828.54</v>
      </c>
      <c r="F196" s="100">
        <v>3096.72</v>
      </c>
      <c r="G196" s="101">
        <v>3289</v>
      </c>
      <c r="H196" s="100">
        <v>3419.295</v>
      </c>
      <c r="I196" s="100">
        <v>3714.04</v>
      </c>
      <c r="J196" s="101">
        <v>4048</v>
      </c>
      <c r="K196" s="100">
        <v>4933.5</v>
      </c>
      <c r="L196" s="102">
        <v>5464.8</v>
      </c>
      <c r="M196" s="102">
        <v>5819</v>
      </c>
      <c r="N196" s="15"/>
    </row>
    <row r="197" ht="18.75" customHeight="1" spans="1:14">
      <c r="A197" s="90" t="s">
        <v>20</v>
      </c>
      <c r="B197" s="100">
        <v>1848.165</v>
      </c>
      <c r="C197" s="100">
        <v>2016.41</v>
      </c>
      <c r="D197" s="101">
        <v>2206.16</v>
      </c>
      <c r="E197" s="100">
        <v>2383.26</v>
      </c>
      <c r="F197" s="100">
        <v>2567.95</v>
      </c>
      <c r="G197" s="101">
        <v>2656.5</v>
      </c>
      <c r="H197" s="100">
        <v>2793.12</v>
      </c>
      <c r="I197" s="100">
        <v>2991.725</v>
      </c>
      <c r="J197" s="101">
        <v>3289</v>
      </c>
      <c r="K197" s="100">
        <v>3961.98</v>
      </c>
      <c r="L197" s="102">
        <v>4365.515</v>
      </c>
      <c r="M197" s="102">
        <v>4634.96</v>
      </c>
      <c r="N197" s="15"/>
    </row>
    <row r="198" ht="18.75" customHeight="1" spans="1:14">
      <c r="A198" s="90" t="s">
        <v>21</v>
      </c>
      <c r="B198" s="100">
        <v>1753.29</v>
      </c>
      <c r="C198" s="100">
        <v>1774.795</v>
      </c>
      <c r="D198" s="101">
        <v>1850.695</v>
      </c>
      <c r="E198" s="100">
        <v>1905.09</v>
      </c>
      <c r="F198" s="100">
        <v>2046.77</v>
      </c>
      <c r="G198" s="101">
        <v>2146.705</v>
      </c>
      <c r="H198" s="100">
        <v>2189.715</v>
      </c>
      <c r="I198" s="100">
        <v>2331.395</v>
      </c>
      <c r="J198" s="101">
        <v>2640.055</v>
      </c>
      <c r="K198" s="100">
        <v>3038.53</v>
      </c>
      <c r="L198" s="102">
        <v>3277.615</v>
      </c>
      <c r="M198" s="102">
        <v>3437.005</v>
      </c>
      <c r="N198" s="15"/>
    </row>
    <row r="199" ht="18.75" customHeight="1" spans="1:14">
      <c r="A199" s="90" t="s">
        <v>22</v>
      </c>
      <c r="B199" s="100">
        <v>1337.105</v>
      </c>
      <c r="C199" s="100">
        <v>1349.755</v>
      </c>
      <c r="D199" s="101">
        <v>1394.03</v>
      </c>
      <c r="E199" s="100">
        <v>1426.92</v>
      </c>
      <c r="F199" s="100">
        <v>1509.145</v>
      </c>
      <c r="G199" s="101">
        <v>1578.72</v>
      </c>
      <c r="H199" s="100">
        <v>1604.02</v>
      </c>
      <c r="I199" s="100">
        <v>1798.83</v>
      </c>
      <c r="J199" s="101">
        <v>1993.64</v>
      </c>
      <c r="K199" s="100">
        <v>2239.05</v>
      </c>
      <c r="L199" s="102">
        <v>2385.79</v>
      </c>
      <c r="M199" s="102">
        <v>2484.46</v>
      </c>
      <c r="N199" s="15"/>
    </row>
    <row r="200" ht="18.75" customHeight="1" spans="1:14">
      <c r="A200" s="90" t="s">
        <v>23</v>
      </c>
      <c r="B200" s="100">
        <v>3944.27</v>
      </c>
      <c r="C200" s="100">
        <v>4265.58</v>
      </c>
      <c r="D200" s="101">
        <v>4461.655</v>
      </c>
      <c r="E200" s="100">
        <v>4923.38</v>
      </c>
      <c r="F200" s="100">
        <v>5244.69</v>
      </c>
      <c r="G200" s="101">
        <v>5576.12</v>
      </c>
      <c r="H200" s="100">
        <v>5892.37</v>
      </c>
      <c r="I200" s="100">
        <v>6608.36</v>
      </c>
      <c r="J200" s="101">
        <v>7339.53</v>
      </c>
      <c r="K200" s="100">
        <v>9204.14</v>
      </c>
      <c r="L200" s="102">
        <v>10145.3</v>
      </c>
      <c r="M200" s="102">
        <v>10628.53</v>
      </c>
      <c r="N200" s="15"/>
    </row>
    <row r="201" ht="18.75" customHeight="1" spans="1:14">
      <c r="A201" s="90" t="s">
        <v>24</v>
      </c>
      <c r="B201" s="100">
        <v>3691.27</v>
      </c>
      <c r="C201" s="100">
        <v>4012.58</v>
      </c>
      <c r="D201" s="101">
        <v>4208.655</v>
      </c>
      <c r="E201" s="100">
        <v>4670.38</v>
      </c>
      <c r="F201" s="100">
        <v>4991.69</v>
      </c>
      <c r="G201" s="101">
        <v>5323.12</v>
      </c>
      <c r="H201" s="100">
        <v>5639.37</v>
      </c>
      <c r="I201" s="100">
        <v>6355.36</v>
      </c>
      <c r="J201" s="101">
        <v>7086.53</v>
      </c>
      <c r="K201" s="100">
        <v>8951.14</v>
      </c>
      <c r="L201" s="102">
        <v>9892.3</v>
      </c>
      <c r="M201" s="102">
        <v>10398.3</v>
      </c>
      <c r="N201" s="15"/>
    </row>
    <row r="202" ht="18.75" customHeight="1" spans="1:14">
      <c r="A202" s="90" t="s">
        <v>69</v>
      </c>
      <c r="B202" s="100">
        <v>4731.1</v>
      </c>
      <c r="C202" s="100">
        <v>5049.88</v>
      </c>
      <c r="D202" s="101">
        <v>5461.005</v>
      </c>
      <c r="E202" s="100">
        <v>6145.37</v>
      </c>
      <c r="F202" s="100">
        <v>6221.27</v>
      </c>
      <c r="G202" s="101">
        <v>6641.25</v>
      </c>
      <c r="H202" s="100">
        <v>7014.425</v>
      </c>
      <c r="I202" s="100">
        <v>7801.255</v>
      </c>
      <c r="J202" s="101">
        <v>8472.97</v>
      </c>
      <c r="K202" s="100">
        <v>10405.89</v>
      </c>
      <c r="L202" s="102">
        <v>11565.895</v>
      </c>
      <c r="M202" s="102">
        <v>12338.81</v>
      </c>
      <c r="N202" s="15"/>
    </row>
    <row r="203" ht="18.75" customHeight="1" spans="1:14">
      <c r="A203" s="90" t="s">
        <v>27</v>
      </c>
      <c r="B203" s="100">
        <v>6395.84</v>
      </c>
      <c r="C203" s="100">
        <v>6722.21</v>
      </c>
      <c r="D203" s="101">
        <v>7024.545</v>
      </c>
      <c r="E203" s="100">
        <v>7525.485</v>
      </c>
      <c r="F203" s="100">
        <v>7918.9</v>
      </c>
      <c r="G203" s="101">
        <v>8782.895</v>
      </c>
      <c r="H203" s="100">
        <v>9736.705</v>
      </c>
      <c r="I203" s="100">
        <v>10725.935</v>
      </c>
      <c r="J203" s="101">
        <v>12299.595</v>
      </c>
      <c r="K203" s="100">
        <v>14525.995</v>
      </c>
      <c r="L203" s="102">
        <v>15861.835</v>
      </c>
      <c r="M203" s="102">
        <v>16663.845</v>
      </c>
      <c r="N203" s="15"/>
    </row>
    <row r="204" ht="18.75" customHeight="1" spans="1:14">
      <c r="A204" s="105" t="s">
        <v>70</v>
      </c>
      <c r="B204" s="100">
        <v>11570.955</v>
      </c>
      <c r="C204" s="100">
        <v>11959.31</v>
      </c>
      <c r="D204" s="101">
        <v>12293.27</v>
      </c>
      <c r="E204" s="100">
        <v>12663.915</v>
      </c>
      <c r="F204" s="100">
        <v>13076.305</v>
      </c>
      <c r="G204" s="101">
        <v>13985.84</v>
      </c>
      <c r="H204" s="100">
        <v>14476.66</v>
      </c>
      <c r="I204" s="100">
        <v>15534.2</v>
      </c>
      <c r="J204" s="101">
        <v>17459.53</v>
      </c>
      <c r="K204" s="100">
        <v>20770.035</v>
      </c>
      <c r="L204" s="102">
        <v>22756.085</v>
      </c>
      <c r="M204" s="102">
        <v>24137.465</v>
      </c>
      <c r="N204" s="15"/>
    </row>
    <row r="205" ht="18.75" customHeight="1" spans="1:14">
      <c r="A205" s="90" t="s">
        <v>71</v>
      </c>
      <c r="B205" s="100">
        <v>1387.705</v>
      </c>
      <c r="C205" s="100">
        <v>1416.8</v>
      </c>
      <c r="D205" s="101">
        <v>1518</v>
      </c>
      <c r="E205" s="100">
        <v>1682.45</v>
      </c>
      <c r="F205" s="100">
        <v>1807.685</v>
      </c>
      <c r="G205" s="101">
        <v>1917.74</v>
      </c>
      <c r="H205" s="100">
        <v>2082.19</v>
      </c>
      <c r="I205" s="100">
        <v>2150.5</v>
      </c>
      <c r="J205" s="101">
        <v>2403.5</v>
      </c>
      <c r="K205" s="100">
        <v>2750.11</v>
      </c>
      <c r="L205" s="102">
        <v>2957.57</v>
      </c>
      <c r="M205" s="102">
        <v>3082.805</v>
      </c>
      <c r="N205" s="15"/>
    </row>
    <row r="206" ht="18.75" customHeight="1" spans="1:14">
      <c r="A206" s="90" t="s">
        <v>72</v>
      </c>
      <c r="B206" s="100">
        <v>3886.08</v>
      </c>
      <c r="C206" s="100">
        <v>4006.255</v>
      </c>
      <c r="D206" s="101">
        <v>4061.915</v>
      </c>
      <c r="E206" s="100">
        <v>4218.775</v>
      </c>
      <c r="F206" s="100">
        <v>4359.19</v>
      </c>
      <c r="G206" s="101">
        <v>4694.415</v>
      </c>
      <c r="H206" s="100">
        <v>4850.01</v>
      </c>
      <c r="I206" s="100">
        <v>5191.56</v>
      </c>
      <c r="J206" s="101">
        <v>5824.06</v>
      </c>
      <c r="K206" s="100">
        <v>7025.81</v>
      </c>
      <c r="L206" s="102">
        <v>7746.86</v>
      </c>
      <c r="M206" s="102">
        <v>8179.49</v>
      </c>
      <c r="N206" s="15"/>
    </row>
    <row r="207" ht="18.75" customHeight="1" spans="1:14">
      <c r="A207" s="90" t="s">
        <v>73</v>
      </c>
      <c r="B207" s="100">
        <v>1574.925</v>
      </c>
      <c r="C207" s="100">
        <v>1640.705</v>
      </c>
      <c r="D207" s="101">
        <v>1757.085</v>
      </c>
      <c r="E207" s="100">
        <v>1853.225</v>
      </c>
      <c r="F207" s="100">
        <v>1922.8</v>
      </c>
      <c r="G207" s="101">
        <v>2155.56</v>
      </c>
      <c r="H207" s="100">
        <v>2307.36</v>
      </c>
      <c r="I207" s="100">
        <v>2686.86</v>
      </c>
      <c r="J207" s="101">
        <v>2914.56</v>
      </c>
      <c r="K207" s="100">
        <v>3574.89</v>
      </c>
      <c r="L207" s="102">
        <v>3970.835</v>
      </c>
      <c r="M207" s="102">
        <v>4208.655</v>
      </c>
      <c r="N207" s="15"/>
    </row>
    <row r="208" ht="18.75" customHeight="1" spans="1:14">
      <c r="A208" s="90" t="s">
        <v>74</v>
      </c>
      <c r="B208" s="100">
        <v>1988.58</v>
      </c>
      <c r="C208" s="100">
        <v>2087.25</v>
      </c>
      <c r="D208" s="101">
        <v>2226.4</v>
      </c>
      <c r="E208" s="100">
        <v>2300</v>
      </c>
      <c r="F208" s="100">
        <v>2430.065</v>
      </c>
      <c r="G208" s="101">
        <v>2829.805</v>
      </c>
      <c r="H208" s="100">
        <v>3019.555</v>
      </c>
      <c r="I208" s="100">
        <v>3350.985</v>
      </c>
      <c r="J208" s="101">
        <v>3736.81</v>
      </c>
      <c r="K208" s="100">
        <v>4485.69</v>
      </c>
      <c r="L208" s="102">
        <v>4934.765</v>
      </c>
      <c r="M208" s="102">
        <v>5204.21</v>
      </c>
      <c r="N208" s="15"/>
    </row>
    <row r="209" ht="18.75" customHeight="1" spans="1:14">
      <c r="A209" s="90" t="s">
        <v>77</v>
      </c>
      <c r="B209" s="100">
        <v>2624.875</v>
      </c>
      <c r="C209" s="100">
        <v>2694.45</v>
      </c>
      <c r="D209" s="101">
        <v>2913.295</v>
      </c>
      <c r="E209" s="100">
        <v>3162.5</v>
      </c>
      <c r="F209" s="100">
        <v>3352.25</v>
      </c>
      <c r="G209" s="101">
        <v>3793.735</v>
      </c>
      <c r="H209" s="100">
        <v>4145.405</v>
      </c>
      <c r="I209" s="100">
        <v>4497.075</v>
      </c>
      <c r="J209" s="101">
        <v>4918.32</v>
      </c>
      <c r="K209" s="100">
        <v>5970.8</v>
      </c>
      <c r="L209" s="102">
        <v>6602.035</v>
      </c>
      <c r="M209" s="102">
        <v>7023.28</v>
      </c>
      <c r="N209" s="15"/>
    </row>
    <row r="210" ht="18.75" customHeight="1" spans="1:14">
      <c r="A210" s="107"/>
      <c r="B210" s="108"/>
      <c r="C210" s="108"/>
      <c r="D210" s="109"/>
      <c r="E210" s="108"/>
      <c r="F210" s="108"/>
      <c r="G210" s="109"/>
      <c r="H210" s="108"/>
      <c r="I210" s="108"/>
      <c r="J210" s="109"/>
      <c r="K210" s="108"/>
      <c r="L210" s="110"/>
      <c r="M210" s="110"/>
      <c r="N210" s="15"/>
    </row>
    <row r="211" ht="23.25" customHeight="1" spans="1:14">
      <c r="A211" s="120" t="s">
        <v>35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5"/>
    </row>
    <row r="212" ht="18.75" customHeight="1" spans="1:14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5" t="s">
        <v>52</v>
      </c>
      <c r="N212" s="15"/>
    </row>
    <row r="213" ht="18.75" customHeight="1" spans="1:14">
      <c r="A213" s="15"/>
      <c r="B213" s="94"/>
      <c r="C213" s="94"/>
      <c r="D213" s="94"/>
      <c r="E213" s="94"/>
      <c r="F213" s="94"/>
      <c r="G213" s="94"/>
      <c r="H213" s="94"/>
      <c r="I213" s="94"/>
      <c r="J213" s="94"/>
      <c r="N213" s="15"/>
    </row>
    <row r="214" ht="21" customHeight="1" spans="1:14">
      <c r="A214" s="96" t="s">
        <v>88</v>
      </c>
      <c r="N214" s="15"/>
    </row>
    <row r="215" ht="21" customHeight="1" spans="1:14">
      <c r="A215" s="96" t="s">
        <v>89</v>
      </c>
      <c r="K215" s="15"/>
      <c r="L215" s="15"/>
      <c r="M215" s="15"/>
      <c r="N215" s="15"/>
    </row>
    <row r="216" ht="21" customHeight="1" spans="1:14">
      <c r="A216" s="91" t="s">
        <v>55</v>
      </c>
      <c r="J216" s="91"/>
      <c r="K216" s="91"/>
      <c r="L216" s="91"/>
      <c r="M216" s="91"/>
      <c r="N216" s="15"/>
    </row>
    <row r="217" ht="28.5" customHeight="1" spans="1:14">
      <c r="A217" s="98"/>
      <c r="B217" s="99" t="s">
        <v>56</v>
      </c>
      <c r="C217" s="86" t="s">
        <v>57</v>
      </c>
      <c r="D217" s="86" t="s">
        <v>58</v>
      </c>
      <c r="E217" s="86" t="s">
        <v>59</v>
      </c>
      <c r="F217" s="86" t="s">
        <v>60</v>
      </c>
      <c r="G217" s="86" t="s">
        <v>61</v>
      </c>
      <c r="H217" s="86" t="s">
        <v>62</v>
      </c>
      <c r="I217" s="86" t="s">
        <v>63</v>
      </c>
      <c r="J217" s="86" t="s">
        <v>64</v>
      </c>
      <c r="K217" s="86" t="s">
        <v>65</v>
      </c>
      <c r="L217" s="86" t="s">
        <v>66</v>
      </c>
      <c r="M217" s="86" t="s">
        <v>67</v>
      </c>
      <c r="N217" s="15"/>
    </row>
    <row r="218" ht="18.75" customHeight="1" spans="1:14">
      <c r="A218" s="90" t="s">
        <v>68</v>
      </c>
      <c r="B218" s="100">
        <v>4039.145</v>
      </c>
      <c r="C218" s="100">
        <v>4395.875</v>
      </c>
      <c r="D218" s="101">
        <v>4680.5</v>
      </c>
      <c r="E218" s="100">
        <v>5072.65</v>
      </c>
      <c r="F218" s="100">
        <v>5380.045</v>
      </c>
      <c r="G218" s="101">
        <v>5615.335</v>
      </c>
      <c r="H218" s="100">
        <v>6156.755</v>
      </c>
      <c r="I218" s="100">
        <v>6723.475</v>
      </c>
      <c r="J218" s="101">
        <v>7229.475</v>
      </c>
      <c r="K218" s="100">
        <v>9234.5</v>
      </c>
      <c r="L218" s="102">
        <v>10120</v>
      </c>
      <c r="M218" s="102">
        <v>10879</v>
      </c>
      <c r="N218" s="15"/>
    </row>
    <row r="219" ht="18.75" customHeight="1" spans="1:14">
      <c r="A219" s="90" t="s">
        <v>18</v>
      </c>
      <c r="B219" s="100">
        <v>3485.075</v>
      </c>
      <c r="C219" s="100">
        <v>3717.835</v>
      </c>
      <c r="D219" s="101">
        <v>4048</v>
      </c>
      <c r="E219" s="100">
        <v>4289.615</v>
      </c>
      <c r="F219" s="100">
        <v>4554</v>
      </c>
      <c r="G219" s="101">
        <v>4671.645</v>
      </c>
      <c r="H219" s="100">
        <v>5300.35</v>
      </c>
      <c r="I219" s="100">
        <v>5883.515</v>
      </c>
      <c r="J219" s="101">
        <v>6072</v>
      </c>
      <c r="K219" s="100">
        <v>7843</v>
      </c>
      <c r="L219" s="102">
        <v>8602</v>
      </c>
      <c r="M219" s="102">
        <v>9297.75</v>
      </c>
      <c r="N219" s="15"/>
    </row>
    <row r="220" ht="18.75" customHeight="1" spans="1:14">
      <c r="A220" s="90" t="s">
        <v>19</v>
      </c>
      <c r="B220" s="100">
        <v>2843.72</v>
      </c>
      <c r="C220" s="100">
        <v>3041.06</v>
      </c>
      <c r="D220" s="101">
        <v>3289</v>
      </c>
      <c r="E220" s="100">
        <v>3505.315</v>
      </c>
      <c r="F220" s="100">
        <v>3721.63</v>
      </c>
      <c r="G220" s="101">
        <v>4108.72</v>
      </c>
      <c r="H220" s="100">
        <v>4316.18</v>
      </c>
      <c r="I220" s="100">
        <v>4789.29</v>
      </c>
      <c r="J220" s="101">
        <v>5060</v>
      </c>
      <c r="K220" s="100">
        <v>6490.715</v>
      </c>
      <c r="L220" s="102">
        <v>7161.165</v>
      </c>
      <c r="M220" s="102">
        <v>7607.71</v>
      </c>
      <c r="N220" s="15"/>
    </row>
    <row r="221" ht="18.75" customHeight="1" spans="1:14">
      <c r="A221" s="90" t="s">
        <v>20</v>
      </c>
      <c r="B221" s="100">
        <v>2595.78</v>
      </c>
      <c r="C221" s="100">
        <v>2656.5</v>
      </c>
      <c r="D221" s="101">
        <v>2807.035</v>
      </c>
      <c r="E221" s="100">
        <v>2912.03</v>
      </c>
      <c r="F221" s="100">
        <v>3187.8</v>
      </c>
      <c r="G221" s="101">
        <v>3323.155</v>
      </c>
      <c r="H221" s="100">
        <v>3420.56</v>
      </c>
      <c r="I221" s="100">
        <v>3684.945</v>
      </c>
      <c r="J221" s="101">
        <v>4225.1</v>
      </c>
      <c r="K221" s="100">
        <v>4952.475</v>
      </c>
      <c r="L221" s="102">
        <v>5388.9</v>
      </c>
      <c r="M221" s="102">
        <v>5650.755</v>
      </c>
      <c r="N221" s="15"/>
    </row>
    <row r="222" ht="18.75" customHeight="1" spans="1:14">
      <c r="A222" s="90" t="s">
        <v>21</v>
      </c>
      <c r="B222" s="100">
        <v>2064.48</v>
      </c>
      <c r="C222" s="100">
        <v>2108.755</v>
      </c>
      <c r="D222" s="101">
        <v>2216.28</v>
      </c>
      <c r="E222" s="100">
        <v>2290.915</v>
      </c>
      <c r="F222" s="100">
        <v>2488.255</v>
      </c>
      <c r="G222" s="101">
        <v>2593.25</v>
      </c>
      <c r="H222" s="100">
        <v>2662.825</v>
      </c>
      <c r="I222" s="100">
        <v>2851.31</v>
      </c>
      <c r="J222" s="101">
        <v>3244.725</v>
      </c>
      <c r="K222" s="100">
        <v>3773.495</v>
      </c>
      <c r="L222" s="102">
        <v>4091.01</v>
      </c>
      <c r="M222" s="102">
        <v>4280.76</v>
      </c>
      <c r="N222" s="15"/>
    </row>
    <row r="223" ht="18.75" customHeight="1" spans="1:14">
      <c r="A223" s="90" t="s">
        <v>22</v>
      </c>
      <c r="B223" s="100">
        <v>1555.95</v>
      </c>
      <c r="C223" s="100">
        <v>1579.985</v>
      </c>
      <c r="D223" s="101">
        <v>1640.705</v>
      </c>
      <c r="E223" s="100">
        <v>1682.45</v>
      </c>
      <c r="F223" s="100">
        <v>1795.035</v>
      </c>
      <c r="G223" s="101">
        <v>1868.405</v>
      </c>
      <c r="H223" s="100">
        <v>1907.62</v>
      </c>
      <c r="I223" s="100">
        <v>2013.88</v>
      </c>
      <c r="J223" s="101">
        <v>2252.965</v>
      </c>
      <c r="K223" s="100">
        <v>2565.42</v>
      </c>
      <c r="L223" s="102">
        <v>2752.64</v>
      </c>
      <c r="M223" s="102">
        <v>2865.225</v>
      </c>
      <c r="N223" s="15"/>
    </row>
    <row r="224" ht="18.75" customHeight="1" spans="1:14">
      <c r="A224" s="90" t="s">
        <v>23</v>
      </c>
      <c r="B224" s="100">
        <v>4676.705</v>
      </c>
      <c r="C224" s="100">
        <v>4989.16</v>
      </c>
      <c r="D224" s="101">
        <v>5486.305</v>
      </c>
      <c r="E224" s="100">
        <v>5848.095</v>
      </c>
      <c r="F224" s="100">
        <v>6321.205</v>
      </c>
      <c r="G224" s="101">
        <v>6953.705</v>
      </c>
      <c r="H224" s="100">
        <v>7584.94</v>
      </c>
      <c r="I224" s="100">
        <v>7826.555</v>
      </c>
      <c r="J224" s="101">
        <v>8607.06</v>
      </c>
      <c r="K224" s="100">
        <v>10849.905</v>
      </c>
      <c r="L224" s="102">
        <v>12195.865</v>
      </c>
      <c r="M224" s="102">
        <v>13092.75</v>
      </c>
      <c r="N224" s="15"/>
    </row>
    <row r="225" ht="18.75" customHeight="1" spans="1:14">
      <c r="A225" s="90" t="s">
        <v>24</v>
      </c>
      <c r="B225" s="100">
        <v>4423.705</v>
      </c>
      <c r="C225" s="100">
        <v>4736.16</v>
      </c>
      <c r="D225" s="101">
        <v>5233.305</v>
      </c>
      <c r="E225" s="100">
        <v>5595.095</v>
      </c>
      <c r="F225" s="100">
        <v>6068.205</v>
      </c>
      <c r="G225" s="101">
        <v>6700.705</v>
      </c>
      <c r="H225" s="100">
        <v>7331.94</v>
      </c>
      <c r="I225" s="100">
        <v>7573.555</v>
      </c>
      <c r="J225" s="101">
        <v>8354.06</v>
      </c>
      <c r="K225" s="100">
        <v>10596.905</v>
      </c>
      <c r="L225" s="102">
        <v>11942.865</v>
      </c>
      <c r="M225" s="102">
        <v>12839.75</v>
      </c>
      <c r="N225" s="15"/>
    </row>
    <row r="226" ht="18.75" customHeight="1" spans="1:14">
      <c r="A226" s="90" t="s">
        <v>69</v>
      </c>
      <c r="B226" s="100">
        <v>5539.435</v>
      </c>
      <c r="C226" s="100">
        <v>6066.94</v>
      </c>
      <c r="D226" s="101">
        <v>6536.255</v>
      </c>
      <c r="E226" s="100">
        <v>7039.725</v>
      </c>
      <c r="F226" s="100">
        <v>7325.615</v>
      </c>
      <c r="G226" s="101">
        <v>7879.685</v>
      </c>
      <c r="H226" s="100">
        <v>8232.62</v>
      </c>
      <c r="I226" s="100">
        <v>9000.475</v>
      </c>
      <c r="J226" s="101">
        <v>9984.645</v>
      </c>
      <c r="K226" s="100">
        <v>12365.375</v>
      </c>
      <c r="L226" s="102">
        <v>13793.56</v>
      </c>
      <c r="M226" s="102">
        <v>14746.105</v>
      </c>
      <c r="N226" s="15"/>
    </row>
    <row r="227" ht="18.75" customHeight="1" spans="1:14">
      <c r="A227" s="90" t="s">
        <v>27</v>
      </c>
      <c r="B227" s="100">
        <v>7309.17</v>
      </c>
      <c r="C227" s="100">
        <v>7677.285</v>
      </c>
      <c r="D227" s="101">
        <v>7969.5</v>
      </c>
      <c r="E227" s="100">
        <v>8432.49</v>
      </c>
      <c r="F227" s="100">
        <v>8913.19</v>
      </c>
      <c r="G227" s="101">
        <v>9649.42</v>
      </c>
      <c r="H227" s="100">
        <v>10269.27</v>
      </c>
      <c r="I227" s="100">
        <v>11641.795</v>
      </c>
      <c r="J227" s="101">
        <v>13742.96</v>
      </c>
      <c r="K227" s="100">
        <v>16639.81</v>
      </c>
      <c r="L227" s="102">
        <v>18377.92</v>
      </c>
      <c r="M227" s="102">
        <v>19420.28</v>
      </c>
      <c r="N227" s="15"/>
    </row>
    <row r="228" ht="18.75" customHeight="1" spans="1:14">
      <c r="A228" s="105" t="s">
        <v>70</v>
      </c>
      <c r="B228" s="100">
        <v>13051.005</v>
      </c>
      <c r="C228" s="100">
        <v>13495.02</v>
      </c>
      <c r="D228" s="101">
        <v>13865.665</v>
      </c>
      <c r="E228" s="100">
        <v>14284.38</v>
      </c>
      <c r="F228" s="100">
        <v>14753.695</v>
      </c>
      <c r="G228" s="101">
        <v>15793.525</v>
      </c>
      <c r="H228" s="100">
        <v>16360.245</v>
      </c>
      <c r="I228" s="100">
        <v>17586.03</v>
      </c>
      <c r="J228" s="101">
        <v>19659.365</v>
      </c>
      <c r="K228" s="100">
        <v>23263.35</v>
      </c>
      <c r="L228" s="102">
        <v>25425.235</v>
      </c>
      <c r="M228" s="102">
        <v>26723.125</v>
      </c>
      <c r="N228" s="15"/>
    </row>
    <row r="229" ht="18.75" customHeight="1" spans="1:14">
      <c r="A229" s="90" t="s">
        <v>32</v>
      </c>
      <c r="B229" s="100">
        <v>1514.205</v>
      </c>
      <c r="C229" s="100">
        <v>1543.3</v>
      </c>
      <c r="D229" s="101">
        <v>1644.5</v>
      </c>
      <c r="E229" s="100">
        <v>1808.95</v>
      </c>
      <c r="F229" s="100">
        <v>1934.185</v>
      </c>
      <c r="G229" s="101">
        <v>2044.24</v>
      </c>
      <c r="H229" s="100">
        <v>2208.69</v>
      </c>
      <c r="I229" s="100">
        <v>2277</v>
      </c>
      <c r="J229" s="101">
        <v>2530</v>
      </c>
      <c r="K229" s="100">
        <v>2876.61</v>
      </c>
      <c r="L229" s="102">
        <v>3084.07</v>
      </c>
      <c r="M229" s="102">
        <v>3209.305</v>
      </c>
      <c r="N229" s="15"/>
    </row>
    <row r="230" ht="18.75" customHeight="1" spans="1:14">
      <c r="A230" s="90" t="s">
        <v>81</v>
      </c>
      <c r="B230" s="100">
        <v>4236.485</v>
      </c>
      <c r="C230" s="100">
        <v>4416.115</v>
      </c>
      <c r="D230" s="101">
        <v>4476.835</v>
      </c>
      <c r="E230" s="100">
        <v>4675.44</v>
      </c>
      <c r="F230" s="100">
        <v>4887.96</v>
      </c>
      <c r="G230" s="101">
        <v>5400.285</v>
      </c>
      <c r="H230" s="100">
        <v>5764.605</v>
      </c>
      <c r="I230" s="100">
        <v>6336.385</v>
      </c>
      <c r="J230" s="101">
        <v>7090.325</v>
      </c>
      <c r="K230" s="100">
        <v>8717.115</v>
      </c>
      <c r="L230" s="102">
        <v>9693.695</v>
      </c>
      <c r="M230" s="102">
        <v>10279.39</v>
      </c>
      <c r="N230" s="15"/>
    </row>
    <row r="231" ht="18.75" customHeight="1" spans="1:14">
      <c r="A231" s="90" t="s">
        <v>82</v>
      </c>
      <c r="B231" s="100">
        <v>5501.485</v>
      </c>
      <c r="C231" s="100">
        <v>5681.115</v>
      </c>
      <c r="D231" s="101">
        <v>5741.835</v>
      </c>
      <c r="E231" s="100">
        <v>5940.44</v>
      </c>
      <c r="F231" s="100">
        <v>6152.96</v>
      </c>
      <c r="G231" s="101">
        <v>6665.285</v>
      </c>
      <c r="H231" s="100">
        <v>7029.605</v>
      </c>
      <c r="I231" s="100">
        <v>7601.385</v>
      </c>
      <c r="J231" s="101">
        <v>8355.325</v>
      </c>
      <c r="K231" s="100">
        <v>9982.115</v>
      </c>
      <c r="L231" s="102">
        <v>10958.695</v>
      </c>
      <c r="M231" s="102">
        <v>11544.39</v>
      </c>
      <c r="N231" s="15"/>
    </row>
    <row r="232" ht="18.75" customHeight="1" spans="1:14">
      <c r="A232" s="90" t="s">
        <v>39</v>
      </c>
      <c r="B232" s="100">
        <v>3795</v>
      </c>
      <c r="C232" s="100">
        <v>4289.615</v>
      </c>
      <c r="D232" s="101">
        <v>4350.335</v>
      </c>
      <c r="E232" s="100">
        <v>4548.94</v>
      </c>
      <c r="F232" s="100">
        <v>4761.46</v>
      </c>
      <c r="G232" s="101">
        <v>5147.285</v>
      </c>
      <c r="H232" s="100">
        <v>5385.105</v>
      </c>
      <c r="I232" s="100">
        <v>5830.385</v>
      </c>
      <c r="J232" s="101">
        <v>6454.03</v>
      </c>
      <c r="K232" s="100">
        <v>7958.115</v>
      </c>
      <c r="L232" s="102">
        <v>8860.06</v>
      </c>
      <c r="M232" s="102">
        <v>9401.48</v>
      </c>
      <c r="N232" s="15"/>
    </row>
    <row r="233" ht="18.75" customHeight="1" spans="1:1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 ht="23.25" customHeight="1" spans="1:14">
      <c r="A234" s="120" t="s">
        <v>35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5"/>
    </row>
    <row r="235" ht="18.75" customHeight="1" spans="1:14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5" t="s">
        <v>52</v>
      </c>
      <c r="N235" s="15"/>
    </row>
    <row r="236" ht="18.75" customHeight="1" spans="1:14">
      <c r="A236" s="15"/>
      <c r="B236" s="94"/>
      <c r="C236" s="94"/>
      <c r="D236" s="94"/>
      <c r="E236" s="94"/>
      <c r="F236" s="94"/>
      <c r="G236" s="94"/>
      <c r="H236" s="94"/>
      <c r="I236" s="94"/>
      <c r="J236" s="94"/>
      <c r="N236" s="15"/>
    </row>
    <row r="237" ht="21" customHeight="1" spans="1:14">
      <c r="A237" s="96" t="s">
        <v>86</v>
      </c>
      <c r="N237" s="15"/>
    </row>
    <row r="238" ht="21" customHeight="1" spans="1:14">
      <c r="A238" s="96" t="s">
        <v>90</v>
      </c>
      <c r="K238" s="15"/>
      <c r="L238" s="15"/>
      <c r="M238" s="15"/>
      <c r="N238" s="15"/>
    </row>
    <row r="239" ht="21" customHeight="1" spans="1:14">
      <c r="A239" s="91" t="s">
        <v>55</v>
      </c>
      <c r="J239" s="91"/>
      <c r="K239" s="91"/>
      <c r="L239" s="91"/>
      <c r="M239" s="91"/>
      <c r="N239" s="15"/>
    </row>
    <row r="240" ht="28.5" customHeight="1" spans="1:14">
      <c r="A240" s="98"/>
      <c r="B240" s="99" t="s">
        <v>56</v>
      </c>
      <c r="C240" s="86" t="s">
        <v>57</v>
      </c>
      <c r="D240" s="86" t="s">
        <v>58</v>
      </c>
      <c r="E240" s="86" t="s">
        <v>59</v>
      </c>
      <c r="F240" s="86" t="s">
        <v>60</v>
      </c>
      <c r="G240" s="86" t="s">
        <v>61</v>
      </c>
      <c r="H240" s="86" t="s">
        <v>62</v>
      </c>
      <c r="I240" s="86" t="s">
        <v>63</v>
      </c>
      <c r="J240" s="86" t="s">
        <v>64</v>
      </c>
      <c r="K240" s="86" t="s">
        <v>65</v>
      </c>
      <c r="L240" s="86" t="s">
        <v>66</v>
      </c>
      <c r="M240" s="86" t="s">
        <v>67</v>
      </c>
      <c r="N240" s="15"/>
    </row>
    <row r="241" ht="18.75" customHeight="1" spans="1:14">
      <c r="A241" s="111" t="s">
        <v>68</v>
      </c>
      <c r="B241" s="112">
        <v>4183.355</v>
      </c>
      <c r="C241" s="112">
        <v>4252.93</v>
      </c>
      <c r="D241" s="113">
        <v>4559.06</v>
      </c>
      <c r="E241" s="112">
        <v>4927.175</v>
      </c>
      <c r="F241" s="112">
        <v>5313</v>
      </c>
      <c r="G241" s="113">
        <v>5540.7</v>
      </c>
      <c r="H241" s="112">
        <v>5811.41</v>
      </c>
      <c r="I241" s="112">
        <v>6375.6</v>
      </c>
      <c r="J241" s="113">
        <v>6982.8</v>
      </c>
      <c r="K241" s="112">
        <v>8500.8</v>
      </c>
      <c r="L241" s="80">
        <v>9411.6</v>
      </c>
      <c r="M241" s="80">
        <v>10018.8</v>
      </c>
      <c r="N241" s="15"/>
    </row>
    <row r="242" ht="18.75" customHeight="1" spans="1:14">
      <c r="A242" s="89" t="s">
        <v>18</v>
      </c>
      <c r="B242" s="112">
        <v>3429.415</v>
      </c>
      <c r="C242" s="112">
        <v>3690.005</v>
      </c>
      <c r="D242" s="113">
        <v>4006.255</v>
      </c>
      <c r="E242" s="112">
        <v>4285.82</v>
      </c>
      <c r="F242" s="112">
        <v>4540.085</v>
      </c>
      <c r="G242" s="113">
        <v>4757.665</v>
      </c>
      <c r="H242" s="112">
        <v>5029.64</v>
      </c>
      <c r="I242" s="112">
        <v>5745.63</v>
      </c>
      <c r="J242" s="113">
        <v>5913.875</v>
      </c>
      <c r="K242" s="112">
        <v>7286.4</v>
      </c>
      <c r="L242" s="80">
        <v>7923.96</v>
      </c>
      <c r="M242" s="80">
        <v>8385.685</v>
      </c>
      <c r="N242" s="15"/>
    </row>
    <row r="243" ht="18.75" customHeight="1" spans="1:14">
      <c r="A243" s="89" t="s">
        <v>19</v>
      </c>
      <c r="B243" s="112">
        <v>2671.68</v>
      </c>
      <c r="C243" s="112">
        <v>2896.85</v>
      </c>
      <c r="D243" s="113">
        <v>3157.44</v>
      </c>
      <c r="E243" s="112">
        <v>3393.995</v>
      </c>
      <c r="F243" s="112">
        <v>3716.57</v>
      </c>
      <c r="G243" s="113">
        <v>3946.8</v>
      </c>
      <c r="H243" s="112">
        <v>4103.66</v>
      </c>
      <c r="I243" s="112">
        <v>4456.595</v>
      </c>
      <c r="J243" s="113">
        <v>4857.6</v>
      </c>
      <c r="K243" s="112">
        <v>5920.2</v>
      </c>
      <c r="L243" s="80">
        <v>6557.76</v>
      </c>
      <c r="M243" s="80">
        <v>6982.8</v>
      </c>
      <c r="N243" s="15"/>
    </row>
    <row r="244" ht="18.75" customHeight="1" spans="1:14">
      <c r="A244" s="89" t="s">
        <v>20</v>
      </c>
      <c r="B244" s="112">
        <v>2217.545</v>
      </c>
      <c r="C244" s="112">
        <v>2419.945</v>
      </c>
      <c r="D244" s="113">
        <v>2647.645</v>
      </c>
      <c r="E244" s="112">
        <v>2860.165</v>
      </c>
      <c r="F244" s="112">
        <v>3081.54</v>
      </c>
      <c r="G244" s="113">
        <v>3187.8</v>
      </c>
      <c r="H244" s="112">
        <v>3352.25</v>
      </c>
      <c r="I244" s="112">
        <v>3590.07</v>
      </c>
      <c r="J244" s="113">
        <v>3946.8</v>
      </c>
      <c r="K244" s="112">
        <v>4753.87</v>
      </c>
      <c r="L244" s="80">
        <v>5238.365</v>
      </c>
      <c r="M244" s="80">
        <v>5562.205</v>
      </c>
      <c r="N244" s="15"/>
    </row>
    <row r="245" ht="18.75" customHeight="1" spans="1:14">
      <c r="A245" s="89" t="s">
        <v>21</v>
      </c>
      <c r="B245" s="112">
        <v>2103.695</v>
      </c>
      <c r="C245" s="112">
        <v>2130.26</v>
      </c>
      <c r="D245" s="113">
        <v>2221.34</v>
      </c>
      <c r="E245" s="112">
        <v>2285.855</v>
      </c>
      <c r="F245" s="112">
        <v>2456.63</v>
      </c>
      <c r="G245" s="113">
        <v>2575.54</v>
      </c>
      <c r="H245" s="112">
        <v>2627.405</v>
      </c>
      <c r="I245" s="112">
        <v>2798.18</v>
      </c>
      <c r="J245" s="113">
        <v>3167.56</v>
      </c>
      <c r="K245" s="112">
        <v>3645.73</v>
      </c>
      <c r="L245" s="80">
        <v>3932.885</v>
      </c>
      <c r="M245" s="80">
        <v>4123.9</v>
      </c>
      <c r="N245" s="15"/>
    </row>
    <row r="246" ht="18.75" customHeight="1" spans="1:14">
      <c r="A246" s="89" t="s">
        <v>22</v>
      </c>
      <c r="B246" s="112">
        <v>1604.02</v>
      </c>
      <c r="C246" s="112">
        <v>1619.2</v>
      </c>
      <c r="D246" s="113">
        <v>1672.33</v>
      </c>
      <c r="E246" s="112">
        <v>1712.81</v>
      </c>
      <c r="F246" s="112">
        <v>1811.48</v>
      </c>
      <c r="G246" s="113">
        <v>1894.97</v>
      </c>
      <c r="H246" s="112">
        <v>1925.33</v>
      </c>
      <c r="I246" s="112">
        <v>2158.09</v>
      </c>
      <c r="J246" s="113">
        <v>2392.115</v>
      </c>
      <c r="K246" s="112">
        <v>2686.86</v>
      </c>
      <c r="L246" s="80">
        <v>2863.96</v>
      </c>
      <c r="M246" s="80">
        <v>2981.605</v>
      </c>
      <c r="N246" s="15"/>
    </row>
    <row r="247" ht="18.75" customHeight="1" spans="1:14">
      <c r="A247" s="89" t="s">
        <v>23</v>
      </c>
      <c r="B247" s="80">
        <v>4733.63</v>
      </c>
      <c r="C247" s="80">
        <v>5118.19</v>
      </c>
      <c r="D247" s="114">
        <v>5353.48</v>
      </c>
      <c r="E247" s="80">
        <v>5907.55</v>
      </c>
      <c r="F247" s="80">
        <v>6293.375</v>
      </c>
      <c r="G247" s="114">
        <v>6691.85</v>
      </c>
      <c r="H247" s="80">
        <v>7071.35</v>
      </c>
      <c r="I247" s="80">
        <v>7930.285</v>
      </c>
      <c r="J247" s="114">
        <v>8806.93</v>
      </c>
      <c r="K247" s="80">
        <v>11044.715</v>
      </c>
      <c r="L247" s="80">
        <v>12174.36</v>
      </c>
      <c r="M247" s="80">
        <v>12753.73</v>
      </c>
      <c r="N247" s="15"/>
    </row>
    <row r="248" ht="18.75" customHeight="1" spans="1:14">
      <c r="A248" s="89" t="s">
        <v>24</v>
      </c>
      <c r="B248" s="80">
        <v>4430.03</v>
      </c>
      <c r="C248" s="80">
        <v>4814.59</v>
      </c>
      <c r="D248" s="114">
        <v>5049.88</v>
      </c>
      <c r="E248" s="80">
        <v>5603.95</v>
      </c>
      <c r="F248" s="80">
        <v>5989.775</v>
      </c>
      <c r="G248" s="114">
        <v>6388.25</v>
      </c>
      <c r="H248" s="80">
        <v>6767.75</v>
      </c>
      <c r="I248" s="80">
        <v>7626.685</v>
      </c>
      <c r="J248" s="114">
        <v>8503.33</v>
      </c>
      <c r="K248" s="80">
        <v>10741.115</v>
      </c>
      <c r="L248" s="80">
        <v>11870.76</v>
      </c>
      <c r="M248" s="80">
        <v>12450.13</v>
      </c>
      <c r="N248" s="15"/>
    </row>
    <row r="249" ht="18.75" customHeight="1" spans="1:14">
      <c r="A249" s="89" t="s">
        <v>69</v>
      </c>
      <c r="B249" s="112">
        <v>5677.32</v>
      </c>
      <c r="C249" s="112">
        <v>6059.35</v>
      </c>
      <c r="D249" s="113">
        <v>6552.7</v>
      </c>
      <c r="E249" s="112">
        <v>7374.95</v>
      </c>
      <c r="F249" s="112">
        <v>7466.03</v>
      </c>
      <c r="G249" s="113">
        <v>7969.5</v>
      </c>
      <c r="H249" s="112">
        <v>8417.31</v>
      </c>
      <c r="I249" s="112">
        <v>9361</v>
      </c>
      <c r="J249" s="113">
        <v>10168.07</v>
      </c>
      <c r="K249" s="112">
        <v>12486.815</v>
      </c>
      <c r="L249" s="80">
        <v>13878.315</v>
      </c>
      <c r="M249" s="80">
        <v>14806.825</v>
      </c>
      <c r="N249" s="15"/>
    </row>
    <row r="250" ht="18.75" customHeight="1" spans="1:14">
      <c r="A250" s="89" t="s">
        <v>27</v>
      </c>
      <c r="B250" s="112">
        <v>7674.755</v>
      </c>
      <c r="C250" s="112">
        <v>8066.905</v>
      </c>
      <c r="D250" s="113">
        <v>8429.96</v>
      </c>
      <c r="E250" s="112">
        <v>9030.835</v>
      </c>
      <c r="F250" s="112">
        <v>9502.68</v>
      </c>
      <c r="G250" s="113">
        <v>10539.98</v>
      </c>
      <c r="H250" s="112">
        <v>11683.54</v>
      </c>
      <c r="I250" s="112">
        <v>12871.375</v>
      </c>
      <c r="J250" s="113">
        <v>14760.02</v>
      </c>
      <c r="K250" s="112">
        <v>17431.7</v>
      </c>
      <c r="L250" s="80">
        <v>19034.455</v>
      </c>
      <c r="M250" s="80">
        <v>19997.12</v>
      </c>
      <c r="N250" s="15"/>
    </row>
    <row r="251" ht="18.75" customHeight="1" spans="1:14">
      <c r="A251" s="115" t="s">
        <v>70</v>
      </c>
      <c r="B251" s="80">
        <v>13884.64</v>
      </c>
      <c r="C251" s="80">
        <v>14351.425</v>
      </c>
      <c r="D251" s="114">
        <v>14752.43</v>
      </c>
      <c r="E251" s="80">
        <v>15196.445</v>
      </c>
      <c r="F251" s="80">
        <v>15691.06</v>
      </c>
      <c r="G251" s="114">
        <v>16782.755</v>
      </c>
      <c r="H251" s="80">
        <v>17372.245</v>
      </c>
      <c r="I251" s="80">
        <v>18641.04</v>
      </c>
      <c r="J251" s="114">
        <v>20950.93</v>
      </c>
      <c r="K251" s="80">
        <v>24924.295</v>
      </c>
      <c r="L251" s="80">
        <v>27307.555</v>
      </c>
      <c r="M251" s="80">
        <v>28964.705</v>
      </c>
      <c r="N251" s="15"/>
    </row>
    <row r="252" ht="18.75" customHeight="1" spans="1:14">
      <c r="A252" s="111" t="s">
        <v>32</v>
      </c>
      <c r="B252" s="112">
        <v>1664.74</v>
      </c>
      <c r="C252" s="112">
        <v>1700.16</v>
      </c>
      <c r="D252" s="113">
        <v>1821.6</v>
      </c>
      <c r="E252" s="112">
        <v>2018.94</v>
      </c>
      <c r="F252" s="112">
        <v>2169.475</v>
      </c>
      <c r="G252" s="113">
        <v>2301.035</v>
      </c>
      <c r="H252" s="112">
        <v>2498.375</v>
      </c>
      <c r="I252" s="112">
        <v>2580.6</v>
      </c>
      <c r="J252" s="113">
        <v>2884.2</v>
      </c>
      <c r="K252" s="112">
        <v>3300.385</v>
      </c>
      <c r="L252" s="80">
        <v>3549.59</v>
      </c>
      <c r="M252" s="80">
        <v>3698.86</v>
      </c>
      <c r="N252" s="15"/>
    </row>
    <row r="253" ht="18.75" customHeight="1" spans="1:14">
      <c r="A253" s="111" t="s">
        <v>72</v>
      </c>
      <c r="B253" s="112">
        <v>4662.79</v>
      </c>
      <c r="C253" s="112">
        <v>4807</v>
      </c>
      <c r="D253" s="113">
        <v>4874.045</v>
      </c>
      <c r="E253" s="112">
        <v>5062.53</v>
      </c>
      <c r="F253" s="112">
        <v>5230.775</v>
      </c>
      <c r="G253" s="113">
        <v>5633.045</v>
      </c>
      <c r="H253" s="112">
        <v>5820.265</v>
      </c>
      <c r="I253" s="112">
        <v>6230.125</v>
      </c>
      <c r="J253" s="113">
        <v>6989.125</v>
      </c>
      <c r="K253" s="112">
        <v>8431.225</v>
      </c>
      <c r="L253" s="80">
        <v>9296.485</v>
      </c>
      <c r="M253" s="80">
        <v>9815.135</v>
      </c>
      <c r="N253" s="15"/>
    </row>
    <row r="254" ht="18.75" customHeight="1" spans="1:14">
      <c r="A254" s="111" t="s">
        <v>73</v>
      </c>
      <c r="B254" s="80">
        <v>1889.91</v>
      </c>
      <c r="C254" s="80">
        <v>1968.34</v>
      </c>
      <c r="D254" s="114">
        <v>2108.755</v>
      </c>
      <c r="E254" s="80">
        <v>2223.87</v>
      </c>
      <c r="F254" s="80">
        <v>2307.36</v>
      </c>
      <c r="G254" s="114">
        <v>2586.925</v>
      </c>
      <c r="H254" s="80">
        <v>2769.085</v>
      </c>
      <c r="I254" s="80">
        <v>3224.485</v>
      </c>
      <c r="J254" s="114">
        <v>3497.725</v>
      </c>
      <c r="K254" s="80">
        <v>4289.615</v>
      </c>
      <c r="L254" s="80">
        <v>4765.255</v>
      </c>
      <c r="M254" s="80">
        <v>5049.88</v>
      </c>
      <c r="N254" s="15"/>
    </row>
    <row r="255" ht="18.75" customHeight="1" spans="1:14">
      <c r="A255" s="111" t="s">
        <v>74</v>
      </c>
      <c r="B255" s="80">
        <v>2385.79</v>
      </c>
      <c r="C255" s="80">
        <v>2504.7</v>
      </c>
      <c r="D255" s="114">
        <v>2671.68</v>
      </c>
      <c r="E255" s="80">
        <v>2767.82</v>
      </c>
      <c r="F255" s="80">
        <v>2915.825</v>
      </c>
      <c r="G255" s="114">
        <v>3395.26</v>
      </c>
      <c r="H255" s="80">
        <v>3622.96</v>
      </c>
      <c r="I255" s="80">
        <v>4021.435</v>
      </c>
      <c r="J255" s="114">
        <v>4484.425</v>
      </c>
      <c r="K255" s="80">
        <v>5382.575</v>
      </c>
      <c r="L255" s="80">
        <v>5921.465</v>
      </c>
      <c r="M255" s="80">
        <v>6245.305</v>
      </c>
      <c r="N255" s="15"/>
    </row>
    <row r="256" ht="18.75" customHeight="1" spans="1:14">
      <c r="A256" s="111" t="s">
        <v>77</v>
      </c>
      <c r="B256" s="80">
        <v>3149.85</v>
      </c>
      <c r="C256" s="80">
        <v>3233.34</v>
      </c>
      <c r="D256" s="114">
        <v>3496.46</v>
      </c>
      <c r="E256" s="80">
        <v>3795</v>
      </c>
      <c r="F256" s="80">
        <v>4022.7</v>
      </c>
      <c r="G256" s="114">
        <v>4316.18</v>
      </c>
      <c r="H256" s="80">
        <v>4619.78</v>
      </c>
      <c r="I256" s="80">
        <v>5084.035</v>
      </c>
      <c r="J256" s="114">
        <v>5601.42</v>
      </c>
      <c r="K256" s="80">
        <v>5996.1</v>
      </c>
      <c r="L256" s="80">
        <v>6050.495</v>
      </c>
      <c r="M256" s="80">
        <v>6087.18</v>
      </c>
      <c r="N256" s="15"/>
    </row>
    <row r="257" ht="18.75" customHeight="1" spans="1:1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 ht="23.25" customHeight="1" spans="1:14">
      <c r="A258" s="120" t="s">
        <v>35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5"/>
    </row>
    <row r="259" ht="18.75" customHeight="1" spans="1:14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5" t="s">
        <v>52</v>
      </c>
      <c r="N259" s="15"/>
    </row>
    <row r="260" ht="18.75" customHeight="1" spans="1:14">
      <c r="A260" s="15"/>
      <c r="B260" s="94"/>
      <c r="C260" s="94"/>
      <c r="D260" s="94"/>
      <c r="E260" s="94"/>
      <c r="F260" s="94"/>
      <c r="G260" s="94"/>
      <c r="H260" s="94"/>
      <c r="I260" s="94"/>
      <c r="J260" s="94"/>
      <c r="N260" s="15"/>
    </row>
    <row r="261" ht="21" customHeight="1" spans="1:14">
      <c r="A261" s="96" t="s">
        <v>88</v>
      </c>
      <c r="N261" s="15"/>
    </row>
    <row r="262" ht="21" customHeight="1" spans="1:14">
      <c r="A262" s="96" t="s">
        <v>90</v>
      </c>
      <c r="K262" s="15"/>
      <c r="L262" s="15"/>
      <c r="M262" s="15"/>
      <c r="N262" s="15"/>
    </row>
    <row r="263" ht="21" customHeight="1" spans="1:14">
      <c r="A263" s="91" t="s">
        <v>55</v>
      </c>
      <c r="J263" s="91"/>
      <c r="K263" s="91"/>
      <c r="L263" s="91"/>
      <c r="M263" s="91"/>
      <c r="N263" s="15"/>
    </row>
    <row r="264" ht="28.5" customHeight="1" spans="1:14">
      <c r="A264" s="98"/>
      <c r="B264" s="99" t="s">
        <v>56</v>
      </c>
      <c r="C264" s="86" t="s">
        <v>57</v>
      </c>
      <c r="D264" s="86" t="s">
        <v>58</v>
      </c>
      <c r="E264" s="86" t="s">
        <v>59</v>
      </c>
      <c r="F264" s="86" t="s">
        <v>60</v>
      </c>
      <c r="G264" s="86" t="s">
        <v>61</v>
      </c>
      <c r="H264" s="86" t="s">
        <v>62</v>
      </c>
      <c r="I264" s="86" t="s">
        <v>63</v>
      </c>
      <c r="J264" s="86" t="s">
        <v>64</v>
      </c>
      <c r="K264" s="86" t="s">
        <v>65</v>
      </c>
      <c r="L264" s="86" t="s">
        <v>66</v>
      </c>
      <c r="M264" s="86" t="s">
        <v>67</v>
      </c>
      <c r="N264" s="15"/>
    </row>
    <row r="265" ht="18.75" customHeight="1" spans="1:14">
      <c r="A265" s="111" t="s">
        <v>68</v>
      </c>
      <c r="B265" s="112">
        <v>4847.48</v>
      </c>
      <c r="C265" s="112">
        <v>5275.05</v>
      </c>
      <c r="D265" s="113">
        <v>5616.6</v>
      </c>
      <c r="E265" s="112">
        <v>6087.18</v>
      </c>
      <c r="F265" s="112">
        <v>6456.56</v>
      </c>
      <c r="G265" s="113">
        <v>6738.655</v>
      </c>
      <c r="H265" s="112">
        <v>7387.6</v>
      </c>
      <c r="I265" s="112">
        <v>8068.17</v>
      </c>
      <c r="J265" s="113">
        <v>8675.37</v>
      </c>
      <c r="K265" s="112">
        <v>11081.4</v>
      </c>
      <c r="L265" s="80">
        <v>12144</v>
      </c>
      <c r="M265" s="80">
        <v>13054.8</v>
      </c>
      <c r="N265" s="15"/>
    </row>
    <row r="266" ht="18.75" customHeight="1" spans="1:14">
      <c r="A266" s="89" t="s">
        <v>18</v>
      </c>
      <c r="B266" s="112">
        <v>4182.09</v>
      </c>
      <c r="C266" s="112">
        <v>4461.655</v>
      </c>
      <c r="D266" s="113">
        <v>4857.6</v>
      </c>
      <c r="E266" s="112">
        <v>5147.285</v>
      </c>
      <c r="F266" s="112">
        <v>5464.8</v>
      </c>
      <c r="G266" s="113">
        <v>5606.48</v>
      </c>
      <c r="H266" s="112">
        <v>6360.42</v>
      </c>
      <c r="I266" s="112">
        <v>7059.965</v>
      </c>
      <c r="J266" s="113">
        <v>7286.4</v>
      </c>
      <c r="K266" s="112">
        <v>9411.6</v>
      </c>
      <c r="L266" s="80">
        <v>10322.4</v>
      </c>
      <c r="M266" s="80">
        <v>11157.3</v>
      </c>
      <c r="N266" s="15"/>
    </row>
    <row r="267" ht="18.75" customHeight="1" spans="1:14">
      <c r="A267" s="89" t="s">
        <v>19</v>
      </c>
      <c r="B267" s="112">
        <v>3412.97</v>
      </c>
      <c r="C267" s="112">
        <v>3649.525</v>
      </c>
      <c r="D267" s="113">
        <v>3946.8</v>
      </c>
      <c r="E267" s="112">
        <v>4206.125</v>
      </c>
      <c r="F267" s="112">
        <v>4465.45</v>
      </c>
      <c r="G267" s="113">
        <v>4930.97</v>
      </c>
      <c r="H267" s="112">
        <v>5178.91</v>
      </c>
      <c r="I267" s="112">
        <v>5746.895</v>
      </c>
      <c r="J267" s="113">
        <v>6072</v>
      </c>
      <c r="K267" s="112">
        <v>7788.605</v>
      </c>
      <c r="L267" s="80">
        <v>8593.145</v>
      </c>
      <c r="M267" s="80">
        <v>9129.505</v>
      </c>
      <c r="N267" s="15"/>
    </row>
    <row r="268" ht="18.75" customHeight="1" spans="1:14">
      <c r="A268" s="89" t="s">
        <v>20</v>
      </c>
      <c r="B268" s="112">
        <v>3114.43</v>
      </c>
      <c r="C268" s="112">
        <v>3187.8</v>
      </c>
      <c r="D268" s="113">
        <v>3368.695</v>
      </c>
      <c r="E268" s="112">
        <v>3493.93</v>
      </c>
      <c r="F268" s="112">
        <v>3825.36</v>
      </c>
      <c r="G268" s="113">
        <v>3987.28</v>
      </c>
      <c r="H268" s="112">
        <v>4104.925</v>
      </c>
      <c r="I268" s="112">
        <v>4422.44</v>
      </c>
      <c r="J268" s="113">
        <v>5070.12</v>
      </c>
      <c r="K268" s="112">
        <v>5942.97</v>
      </c>
      <c r="L268" s="80">
        <v>6466.68</v>
      </c>
      <c r="M268" s="80">
        <v>6780.4</v>
      </c>
      <c r="N268" s="15"/>
    </row>
    <row r="269" ht="18.75" customHeight="1" spans="1:14">
      <c r="A269" s="89" t="s">
        <v>21</v>
      </c>
      <c r="B269" s="112">
        <v>2476.87</v>
      </c>
      <c r="C269" s="112">
        <v>2530</v>
      </c>
      <c r="D269" s="113">
        <v>2659.03</v>
      </c>
      <c r="E269" s="112">
        <v>2748.845</v>
      </c>
      <c r="F269" s="112">
        <v>2985.4</v>
      </c>
      <c r="G269" s="113">
        <v>3111.9</v>
      </c>
      <c r="H269" s="112">
        <v>3195.39</v>
      </c>
      <c r="I269" s="112">
        <v>3421.825</v>
      </c>
      <c r="J269" s="113">
        <v>3893.67</v>
      </c>
      <c r="K269" s="112">
        <v>4528.7</v>
      </c>
      <c r="L269" s="80">
        <v>4909.465</v>
      </c>
      <c r="M269" s="80">
        <v>5137.165</v>
      </c>
      <c r="N269" s="15"/>
    </row>
    <row r="270" ht="18.75" customHeight="1" spans="1:14">
      <c r="A270" s="89" t="s">
        <v>22</v>
      </c>
      <c r="B270" s="112">
        <v>1867.14</v>
      </c>
      <c r="C270" s="112">
        <v>1896.235</v>
      </c>
      <c r="D270" s="113">
        <v>1968.34</v>
      </c>
      <c r="E270" s="112">
        <v>2018.94</v>
      </c>
      <c r="F270" s="112">
        <v>2154.295</v>
      </c>
      <c r="G270" s="113">
        <v>2241.58</v>
      </c>
      <c r="H270" s="112">
        <v>2289.65</v>
      </c>
      <c r="I270" s="112">
        <v>2416.15</v>
      </c>
      <c r="J270" s="113">
        <v>2703.305</v>
      </c>
      <c r="K270" s="112">
        <v>3079.01</v>
      </c>
      <c r="L270" s="80">
        <v>3302.915</v>
      </c>
      <c r="M270" s="80">
        <v>3438.27</v>
      </c>
      <c r="N270" s="15"/>
    </row>
    <row r="271" ht="18.75" customHeight="1" spans="1:14">
      <c r="A271" s="89" t="s">
        <v>23</v>
      </c>
      <c r="B271" s="112">
        <v>5611.54</v>
      </c>
      <c r="C271" s="112">
        <v>5987.245</v>
      </c>
      <c r="D271" s="113">
        <v>6583.06</v>
      </c>
      <c r="E271" s="112">
        <v>7018.22</v>
      </c>
      <c r="F271" s="112">
        <v>7584.94</v>
      </c>
      <c r="G271" s="113">
        <v>8343.94</v>
      </c>
      <c r="H271" s="112">
        <v>9101.675</v>
      </c>
      <c r="I271" s="112">
        <v>9391.36</v>
      </c>
      <c r="J271" s="113">
        <v>10328.725</v>
      </c>
      <c r="K271" s="112">
        <v>13019.38</v>
      </c>
      <c r="L271" s="80">
        <v>14634.785</v>
      </c>
      <c r="M271" s="80">
        <v>15711.3</v>
      </c>
      <c r="N271" s="15"/>
    </row>
    <row r="272" ht="18.75" customHeight="1" spans="1:14">
      <c r="A272" s="89" t="s">
        <v>24</v>
      </c>
      <c r="B272" s="112">
        <v>5307.94</v>
      </c>
      <c r="C272" s="112">
        <v>5683.645</v>
      </c>
      <c r="D272" s="113">
        <v>6279.46</v>
      </c>
      <c r="E272" s="112">
        <v>6714.62</v>
      </c>
      <c r="F272" s="112">
        <v>7281.34</v>
      </c>
      <c r="G272" s="113">
        <v>8040.34</v>
      </c>
      <c r="H272" s="112">
        <v>8798.075</v>
      </c>
      <c r="I272" s="112">
        <v>9087.76</v>
      </c>
      <c r="J272" s="113">
        <v>10025.125</v>
      </c>
      <c r="K272" s="112">
        <v>12715.78</v>
      </c>
      <c r="L272" s="80">
        <v>14331.185</v>
      </c>
      <c r="M272" s="80">
        <v>15407.7</v>
      </c>
      <c r="N272" s="15"/>
    </row>
    <row r="273" ht="18.75" customHeight="1" spans="1:14">
      <c r="A273" s="89" t="s">
        <v>69</v>
      </c>
      <c r="B273" s="112">
        <v>6647.575</v>
      </c>
      <c r="C273" s="112">
        <v>7280.075</v>
      </c>
      <c r="D273" s="113">
        <v>7843</v>
      </c>
      <c r="E273" s="112">
        <v>8447.67</v>
      </c>
      <c r="F273" s="112">
        <v>8790.485</v>
      </c>
      <c r="G273" s="113">
        <v>9455.875</v>
      </c>
      <c r="H273" s="112">
        <v>9879.65</v>
      </c>
      <c r="I273" s="112">
        <v>10800.57</v>
      </c>
      <c r="J273" s="113">
        <v>11982.08</v>
      </c>
      <c r="K273" s="112">
        <v>14838.45</v>
      </c>
      <c r="L273" s="80">
        <v>16552.525</v>
      </c>
      <c r="M273" s="80">
        <v>17694.82</v>
      </c>
      <c r="N273" s="15"/>
    </row>
    <row r="274" ht="18.75" customHeight="1" spans="1:14">
      <c r="A274" s="89" t="s">
        <v>27</v>
      </c>
      <c r="B274" s="112">
        <v>8771.51</v>
      </c>
      <c r="C274" s="112">
        <v>9212.995</v>
      </c>
      <c r="D274" s="113">
        <v>9563.4</v>
      </c>
      <c r="E274" s="112">
        <v>10118.735</v>
      </c>
      <c r="F274" s="112">
        <v>10695.575</v>
      </c>
      <c r="G274" s="113">
        <v>11579.81</v>
      </c>
      <c r="H274" s="112">
        <v>12323.63</v>
      </c>
      <c r="I274" s="112">
        <v>13970.66</v>
      </c>
      <c r="J274" s="113">
        <v>16491.805</v>
      </c>
      <c r="K274" s="112">
        <v>19968.025</v>
      </c>
      <c r="L274" s="80">
        <v>22054.01</v>
      </c>
      <c r="M274" s="80">
        <v>23305.095</v>
      </c>
      <c r="N274" s="15"/>
    </row>
    <row r="275" ht="18.75" customHeight="1" spans="1:14">
      <c r="A275" s="115" t="s">
        <v>70</v>
      </c>
      <c r="B275" s="112">
        <v>15660.7</v>
      </c>
      <c r="C275" s="112">
        <v>16194.53</v>
      </c>
      <c r="D275" s="113">
        <v>16638.545</v>
      </c>
      <c r="E275" s="112">
        <v>17140.75</v>
      </c>
      <c r="F275" s="112">
        <v>17704.94</v>
      </c>
      <c r="G275" s="113">
        <v>18952.23</v>
      </c>
      <c r="H275" s="112">
        <v>19632.8</v>
      </c>
      <c r="I275" s="112">
        <v>21102.73</v>
      </c>
      <c r="J275" s="113">
        <v>23590.985</v>
      </c>
      <c r="K275" s="112">
        <v>27916.02</v>
      </c>
      <c r="L275" s="80">
        <v>30510.535</v>
      </c>
      <c r="M275" s="80">
        <v>32067.75</v>
      </c>
      <c r="N275" s="15"/>
    </row>
    <row r="276" ht="18.75" customHeight="1" spans="1:14">
      <c r="A276" s="111" t="s">
        <v>32</v>
      </c>
      <c r="B276" s="112">
        <v>1816.54</v>
      </c>
      <c r="C276" s="112">
        <v>1851.96</v>
      </c>
      <c r="D276" s="113">
        <v>1973.4</v>
      </c>
      <c r="E276" s="112">
        <v>2170.74</v>
      </c>
      <c r="F276" s="112">
        <v>2321.275</v>
      </c>
      <c r="G276" s="113">
        <v>2452.835</v>
      </c>
      <c r="H276" s="112">
        <v>2650.175</v>
      </c>
      <c r="I276" s="112">
        <v>2732.4</v>
      </c>
      <c r="J276" s="113">
        <v>3036</v>
      </c>
      <c r="K276" s="112">
        <v>3452.185</v>
      </c>
      <c r="L276" s="80">
        <v>3701.39</v>
      </c>
      <c r="M276" s="80">
        <v>3850.66</v>
      </c>
      <c r="N276" s="15"/>
    </row>
    <row r="277" ht="18.75" customHeight="1" spans="1:14">
      <c r="A277" s="89" t="s">
        <v>81</v>
      </c>
      <c r="B277" s="112">
        <v>5084.035</v>
      </c>
      <c r="C277" s="112">
        <v>5299.085</v>
      </c>
      <c r="D277" s="113">
        <v>5372.455</v>
      </c>
      <c r="E277" s="112">
        <v>5610.275</v>
      </c>
      <c r="F277" s="112">
        <v>5865.805</v>
      </c>
      <c r="G277" s="113">
        <v>6480.595</v>
      </c>
      <c r="H277" s="112">
        <v>6917.02</v>
      </c>
      <c r="I277" s="112">
        <v>7603.915</v>
      </c>
      <c r="J277" s="113">
        <v>8508.39</v>
      </c>
      <c r="K277" s="112">
        <v>10460.285</v>
      </c>
      <c r="L277" s="80">
        <v>11631.675</v>
      </c>
      <c r="M277" s="80">
        <v>12335.015</v>
      </c>
      <c r="N277" s="15"/>
    </row>
    <row r="278" ht="18.75" customHeight="1" spans="1:14">
      <c r="A278" s="89" t="s">
        <v>82</v>
      </c>
      <c r="B278" s="112">
        <v>6602.035</v>
      </c>
      <c r="C278" s="112">
        <v>6817.085</v>
      </c>
      <c r="D278" s="113">
        <v>6890.455</v>
      </c>
      <c r="E278" s="112">
        <v>7128.275</v>
      </c>
      <c r="F278" s="112">
        <v>7383.805</v>
      </c>
      <c r="G278" s="113">
        <v>7998.595</v>
      </c>
      <c r="H278" s="112">
        <v>8435.02</v>
      </c>
      <c r="I278" s="112">
        <v>9121.915</v>
      </c>
      <c r="J278" s="113">
        <v>10026.39</v>
      </c>
      <c r="K278" s="112">
        <v>11978.285</v>
      </c>
      <c r="L278" s="80">
        <v>13149.675</v>
      </c>
      <c r="M278" s="80">
        <v>13853.015</v>
      </c>
      <c r="N278" s="15"/>
    </row>
    <row r="279" ht="18.75" customHeight="1" spans="1:14">
      <c r="A279" s="89" t="s">
        <v>39</v>
      </c>
      <c r="B279" s="112">
        <v>4554</v>
      </c>
      <c r="C279" s="112">
        <v>5147.285</v>
      </c>
      <c r="D279" s="113">
        <v>5220.655</v>
      </c>
      <c r="E279" s="112">
        <v>5458.475</v>
      </c>
      <c r="F279" s="112">
        <v>5714.005</v>
      </c>
      <c r="G279" s="113">
        <v>6176.995</v>
      </c>
      <c r="H279" s="112">
        <v>6461.62</v>
      </c>
      <c r="I279" s="112">
        <v>6996.715</v>
      </c>
      <c r="J279" s="113">
        <v>7744.33</v>
      </c>
      <c r="K279" s="112">
        <v>9549.485</v>
      </c>
      <c r="L279" s="80">
        <v>10632.325</v>
      </c>
      <c r="M279" s="80">
        <v>11282.535</v>
      </c>
      <c r="N279" s="15"/>
    </row>
    <row r="280" ht="18.75" customHeight="1" spans="1:1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 ht="23.25" customHeight="1" spans="1:14">
      <c r="A281" s="120" t="s">
        <v>35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15"/>
    </row>
    <row r="282" ht="18.75" customHeight="1" spans="1:14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5" t="s">
        <v>52</v>
      </c>
      <c r="N282" s="15"/>
    </row>
    <row r="283" ht="18.75" customHeight="1" spans="1:14">
      <c r="A283" s="15"/>
      <c r="B283" s="94"/>
      <c r="C283" s="94"/>
      <c r="D283" s="94"/>
      <c r="E283" s="94"/>
      <c r="F283" s="94"/>
      <c r="G283" s="94"/>
      <c r="H283" s="94"/>
      <c r="I283" s="94"/>
      <c r="J283" s="94"/>
      <c r="N283" s="15"/>
    </row>
    <row r="284" ht="21" customHeight="1" spans="1:14">
      <c r="A284" s="96" t="s">
        <v>91</v>
      </c>
      <c r="N284" s="15"/>
    </row>
    <row r="285" ht="21" customHeight="1" spans="1:14">
      <c r="A285" s="96" t="s">
        <v>87</v>
      </c>
      <c r="J285" s="15"/>
      <c r="K285" s="15"/>
      <c r="L285" s="15"/>
      <c r="M285" s="15"/>
      <c r="N285" s="15"/>
    </row>
    <row r="286" ht="21" customHeight="1" spans="1:14">
      <c r="A286" s="91" t="s">
        <v>55</v>
      </c>
      <c r="J286" s="91"/>
      <c r="K286" s="91"/>
      <c r="L286" s="91"/>
      <c r="M286" s="91"/>
      <c r="N286" s="15"/>
    </row>
    <row r="287" ht="28.5" customHeight="1" spans="1:14">
      <c r="A287" s="98"/>
      <c r="B287" s="99" t="s">
        <v>56</v>
      </c>
      <c r="C287" s="86" t="s">
        <v>57</v>
      </c>
      <c r="D287" s="86" t="s">
        <v>58</v>
      </c>
      <c r="E287" s="86" t="s">
        <v>59</v>
      </c>
      <c r="F287" s="86" t="s">
        <v>60</v>
      </c>
      <c r="G287" s="86" t="s">
        <v>61</v>
      </c>
      <c r="H287" s="86" t="s">
        <v>62</v>
      </c>
      <c r="I287" s="86" t="s">
        <v>63</v>
      </c>
      <c r="J287" s="86" t="s">
        <v>64</v>
      </c>
      <c r="K287" s="86" t="s">
        <v>65</v>
      </c>
      <c r="L287" s="86" t="s">
        <v>66</v>
      </c>
      <c r="M287" s="86" t="s">
        <v>67</v>
      </c>
      <c r="N287" s="15"/>
    </row>
    <row r="288" ht="18.75" customHeight="1" spans="1:14">
      <c r="A288" s="111" t="s">
        <v>68</v>
      </c>
      <c r="B288" s="80">
        <v>3194.4</v>
      </c>
      <c r="C288" s="80">
        <v>3412.2</v>
      </c>
      <c r="D288" s="114">
        <v>3688.08</v>
      </c>
      <c r="E288" s="80">
        <v>3835.7</v>
      </c>
      <c r="F288" s="80">
        <v>4210.8</v>
      </c>
      <c r="G288" s="114">
        <v>4507.25</v>
      </c>
      <c r="H288" s="80">
        <v>4791.6</v>
      </c>
      <c r="I288" s="80">
        <v>5155.81</v>
      </c>
      <c r="J288" s="114">
        <v>5828.57</v>
      </c>
      <c r="K288" s="80">
        <v>6841.34</v>
      </c>
      <c r="L288" s="80">
        <v>7449.97</v>
      </c>
      <c r="M288" s="80">
        <v>7855.32</v>
      </c>
      <c r="N288" s="15"/>
    </row>
    <row r="289" ht="18.75" customHeight="1" spans="1:14">
      <c r="A289" s="89" t="s">
        <v>18</v>
      </c>
      <c r="B289" s="80">
        <v>2724.92</v>
      </c>
      <c r="C289" s="80">
        <v>2904</v>
      </c>
      <c r="D289" s="114">
        <v>3115.75</v>
      </c>
      <c r="E289" s="80">
        <v>3371.06</v>
      </c>
      <c r="F289" s="80">
        <v>3602.17</v>
      </c>
      <c r="G289" s="114">
        <v>3784.88</v>
      </c>
      <c r="H289" s="80">
        <v>3886.52</v>
      </c>
      <c r="I289" s="80">
        <v>4151.51</v>
      </c>
      <c r="J289" s="114">
        <v>4663.34</v>
      </c>
      <c r="K289" s="80">
        <v>5431.69</v>
      </c>
      <c r="L289" s="80">
        <v>5892.7</v>
      </c>
      <c r="M289" s="80">
        <v>6200.04</v>
      </c>
      <c r="N289" s="15"/>
    </row>
    <row r="290" ht="18.75" customHeight="1" spans="1:14">
      <c r="A290" s="89" t="s">
        <v>19</v>
      </c>
      <c r="B290" s="80">
        <v>2234.87</v>
      </c>
      <c r="C290" s="80">
        <v>2386.12</v>
      </c>
      <c r="D290" s="114">
        <v>2542.21</v>
      </c>
      <c r="E290" s="80">
        <v>2761.22</v>
      </c>
      <c r="F290" s="80">
        <v>2916.1</v>
      </c>
      <c r="G290" s="114">
        <v>3193.19</v>
      </c>
      <c r="H290" s="80">
        <v>3260.95</v>
      </c>
      <c r="I290" s="80">
        <v>3436.4</v>
      </c>
      <c r="J290" s="114">
        <v>3789.72</v>
      </c>
      <c r="K290" s="80">
        <v>4311.23</v>
      </c>
      <c r="L290" s="80">
        <v>4623.41</v>
      </c>
      <c r="M290" s="80">
        <v>4832.74</v>
      </c>
      <c r="N290" s="15"/>
    </row>
    <row r="291" ht="18.75" customHeight="1" spans="1:14">
      <c r="A291" s="89" t="s">
        <v>20</v>
      </c>
      <c r="B291" s="80">
        <v>1852.51</v>
      </c>
      <c r="C291" s="80">
        <v>2044.9</v>
      </c>
      <c r="D291" s="114">
        <v>2156.22</v>
      </c>
      <c r="E291" s="80">
        <v>2228.82</v>
      </c>
      <c r="F291" s="80">
        <v>2434.52</v>
      </c>
      <c r="G291" s="114">
        <v>2553.1</v>
      </c>
      <c r="H291" s="80">
        <v>2605.13</v>
      </c>
      <c r="I291" s="80">
        <v>2797.52</v>
      </c>
      <c r="J291" s="114">
        <v>3057.67</v>
      </c>
      <c r="K291" s="80">
        <v>3744.95</v>
      </c>
      <c r="L291" s="80">
        <v>4070.44</v>
      </c>
      <c r="M291" s="80">
        <v>4264.04</v>
      </c>
      <c r="N291" s="15"/>
    </row>
    <row r="292" ht="18.75" customHeight="1" spans="1:14">
      <c r="A292" s="89" t="s">
        <v>21</v>
      </c>
      <c r="B292" s="80">
        <v>1489.51</v>
      </c>
      <c r="C292" s="80">
        <v>1656.49</v>
      </c>
      <c r="D292" s="114">
        <v>1732.72</v>
      </c>
      <c r="E292" s="80">
        <v>1783.54</v>
      </c>
      <c r="F292" s="80">
        <v>1928.74</v>
      </c>
      <c r="G292" s="114">
        <v>2165.9</v>
      </c>
      <c r="H292" s="80">
        <v>2200.99</v>
      </c>
      <c r="I292" s="80">
        <v>2332.88</v>
      </c>
      <c r="J292" s="114">
        <v>2623.28</v>
      </c>
      <c r="K292" s="80">
        <v>3018.95</v>
      </c>
      <c r="L292" s="80">
        <v>3254.9</v>
      </c>
      <c r="M292" s="80">
        <v>3397.68</v>
      </c>
      <c r="N292" s="15"/>
    </row>
    <row r="293" ht="18.75" customHeight="1" spans="1:14">
      <c r="A293" s="89" t="s">
        <v>22</v>
      </c>
      <c r="B293" s="80">
        <v>1248.72</v>
      </c>
      <c r="C293" s="80">
        <v>1407.23</v>
      </c>
      <c r="D293" s="114">
        <v>1452</v>
      </c>
      <c r="E293" s="80">
        <v>1483.46</v>
      </c>
      <c r="F293" s="80">
        <v>1570.58</v>
      </c>
      <c r="G293" s="114">
        <v>1638.34</v>
      </c>
      <c r="H293" s="80">
        <v>1660.12</v>
      </c>
      <c r="I293" s="80">
        <v>1739.98</v>
      </c>
      <c r="J293" s="114">
        <v>1925.11</v>
      </c>
      <c r="K293" s="80">
        <v>2165.9</v>
      </c>
      <c r="L293" s="80">
        <v>2311.1</v>
      </c>
      <c r="M293" s="80">
        <v>2397.01</v>
      </c>
      <c r="N293" s="15"/>
    </row>
    <row r="294" ht="18.75" customHeight="1" spans="1:14">
      <c r="A294" s="89" t="s">
        <v>23</v>
      </c>
      <c r="B294" s="80">
        <v>3673.56</v>
      </c>
      <c r="C294" s="80">
        <v>3886.52</v>
      </c>
      <c r="D294" s="114">
        <v>4101.9</v>
      </c>
      <c r="E294" s="80">
        <v>4331.8</v>
      </c>
      <c r="F294" s="80">
        <v>4404.4</v>
      </c>
      <c r="G294" s="114">
        <v>4622.2</v>
      </c>
      <c r="H294" s="80">
        <v>5009.4</v>
      </c>
      <c r="I294" s="80">
        <v>5590.2</v>
      </c>
      <c r="J294" s="114">
        <v>6584.82</v>
      </c>
      <c r="K294" s="80">
        <v>8068.28</v>
      </c>
      <c r="L294" s="80">
        <v>8958.84</v>
      </c>
      <c r="M294" s="80">
        <v>9552.95</v>
      </c>
      <c r="N294" s="15"/>
    </row>
    <row r="295" ht="18.75" customHeight="1" spans="1:14">
      <c r="A295" s="89" t="s">
        <v>24</v>
      </c>
      <c r="B295" s="80">
        <v>3383.16</v>
      </c>
      <c r="C295" s="80">
        <v>3596.12</v>
      </c>
      <c r="D295" s="114">
        <v>3811.5</v>
      </c>
      <c r="E295" s="80">
        <v>4041.4</v>
      </c>
      <c r="F295" s="80">
        <v>4114</v>
      </c>
      <c r="G295" s="114">
        <v>4331.8</v>
      </c>
      <c r="H295" s="80">
        <v>4719</v>
      </c>
      <c r="I295" s="80">
        <v>5299.8</v>
      </c>
      <c r="J295" s="114">
        <v>6294.42</v>
      </c>
      <c r="K295" s="80">
        <v>7777.88</v>
      </c>
      <c r="L295" s="80">
        <v>8668.44</v>
      </c>
      <c r="M295" s="80">
        <v>9262.55</v>
      </c>
      <c r="N295" s="15"/>
    </row>
    <row r="296" ht="18.75" customHeight="1" spans="1:14">
      <c r="A296" s="89" t="s">
        <v>69</v>
      </c>
      <c r="B296" s="80">
        <v>5242.93</v>
      </c>
      <c r="C296" s="80">
        <v>5449.84</v>
      </c>
      <c r="D296" s="114">
        <v>5759.6</v>
      </c>
      <c r="E296" s="80">
        <v>6335.56</v>
      </c>
      <c r="F296" s="80">
        <v>6601.76</v>
      </c>
      <c r="G296" s="114">
        <v>7057.93</v>
      </c>
      <c r="H296" s="80">
        <v>7469.33</v>
      </c>
      <c r="I296" s="80">
        <v>8335.69</v>
      </c>
      <c r="J296" s="114">
        <v>8908.02</v>
      </c>
      <c r="K296" s="80">
        <v>10998.9</v>
      </c>
      <c r="L296" s="80">
        <v>12253.67</v>
      </c>
      <c r="M296" s="80">
        <v>13089.78</v>
      </c>
      <c r="N296" s="15"/>
    </row>
    <row r="297" ht="18.75" customHeight="1" spans="1:14">
      <c r="A297" s="89" t="s">
        <v>27</v>
      </c>
      <c r="B297" s="80">
        <v>6794.15</v>
      </c>
      <c r="C297" s="80">
        <v>6981.7</v>
      </c>
      <c r="D297" s="114">
        <v>7280.57</v>
      </c>
      <c r="E297" s="80">
        <v>7942.44</v>
      </c>
      <c r="F297" s="80">
        <v>8194.12</v>
      </c>
      <c r="G297" s="114">
        <v>9090.73</v>
      </c>
      <c r="H297" s="80">
        <v>9837.3</v>
      </c>
      <c r="I297" s="80">
        <v>10701.24</v>
      </c>
      <c r="J297" s="114">
        <v>12493.25</v>
      </c>
      <c r="K297" s="80">
        <v>14634.95</v>
      </c>
      <c r="L297" s="80">
        <v>15919.97</v>
      </c>
      <c r="M297" s="80">
        <v>16690.74</v>
      </c>
      <c r="N297" s="15"/>
    </row>
    <row r="298" ht="18.75" customHeight="1" spans="1:14">
      <c r="A298" s="116" t="s">
        <v>70</v>
      </c>
      <c r="B298" s="80">
        <v>12616.67</v>
      </c>
      <c r="C298" s="80">
        <v>13009.92</v>
      </c>
      <c r="D298" s="114">
        <v>13341.46</v>
      </c>
      <c r="E298" s="80">
        <v>13711.72</v>
      </c>
      <c r="F298" s="80">
        <v>14127.96</v>
      </c>
      <c r="G298" s="114">
        <v>15076.6</v>
      </c>
      <c r="H298" s="80">
        <v>15578.75</v>
      </c>
      <c r="I298" s="80">
        <v>16661.7</v>
      </c>
      <c r="J298" s="114">
        <v>18686.03</v>
      </c>
      <c r="K298" s="80">
        <v>22034.1</v>
      </c>
      <c r="L298" s="80">
        <v>24043.91</v>
      </c>
      <c r="M298" s="80">
        <v>14810.4</v>
      </c>
      <c r="N298" s="15"/>
    </row>
    <row r="299" ht="18.75" customHeight="1" spans="1:14">
      <c r="A299" s="111" t="s">
        <v>32</v>
      </c>
      <c r="B299" s="80">
        <v>1432.64</v>
      </c>
      <c r="C299" s="80">
        <v>1464.1</v>
      </c>
      <c r="D299" s="114">
        <v>1568.16</v>
      </c>
      <c r="E299" s="80">
        <v>1737.56</v>
      </c>
      <c r="F299" s="80">
        <v>1867.03</v>
      </c>
      <c r="G299" s="114">
        <v>1980.77</v>
      </c>
      <c r="H299" s="80">
        <v>2150.17</v>
      </c>
      <c r="I299" s="80">
        <v>2221.56</v>
      </c>
      <c r="J299" s="114">
        <v>2482.92</v>
      </c>
      <c r="K299" s="80">
        <v>2841.08</v>
      </c>
      <c r="L299" s="80">
        <v>3056.46</v>
      </c>
      <c r="M299" s="80">
        <v>3184.72</v>
      </c>
      <c r="N299" s="15"/>
    </row>
    <row r="300" ht="18.75" customHeight="1" spans="1:14">
      <c r="A300" s="111" t="s">
        <v>72</v>
      </c>
      <c r="B300" s="80">
        <v>4271.3</v>
      </c>
      <c r="C300" s="80">
        <v>4400.77</v>
      </c>
      <c r="D300" s="114">
        <v>4455.22</v>
      </c>
      <c r="E300" s="80">
        <v>4625.83</v>
      </c>
      <c r="F300" s="80">
        <v>4778.29</v>
      </c>
      <c r="G300" s="114">
        <v>5144.92</v>
      </c>
      <c r="H300" s="80">
        <v>5314.32</v>
      </c>
      <c r="I300" s="80">
        <v>5685.79</v>
      </c>
      <c r="J300" s="114">
        <v>6382.75</v>
      </c>
      <c r="K300" s="80">
        <v>7700.44</v>
      </c>
      <c r="L300" s="80">
        <v>8489.36</v>
      </c>
      <c r="M300" s="80">
        <v>8964.89</v>
      </c>
      <c r="N300" s="15"/>
    </row>
    <row r="301" ht="18.75" customHeight="1" spans="1:14">
      <c r="A301" s="111" t="s">
        <v>73</v>
      </c>
      <c r="B301" s="80">
        <v>1611.72</v>
      </c>
      <c r="C301" s="80">
        <v>1663.75</v>
      </c>
      <c r="D301" s="114">
        <v>1762.97</v>
      </c>
      <c r="E301" s="80">
        <v>1951.73</v>
      </c>
      <c r="F301" s="80">
        <v>2030.38</v>
      </c>
      <c r="G301" s="114">
        <v>2260.28</v>
      </c>
      <c r="H301" s="80">
        <v>2468.4</v>
      </c>
      <c r="I301" s="80">
        <v>2825.35</v>
      </c>
      <c r="J301" s="114">
        <v>3057.67</v>
      </c>
      <c r="K301" s="80">
        <v>3620.32</v>
      </c>
      <c r="L301" s="80">
        <v>3956.7</v>
      </c>
      <c r="M301" s="80">
        <v>4159.98</v>
      </c>
      <c r="N301" s="15"/>
    </row>
    <row r="302" ht="18.75" customHeight="1" spans="1:14">
      <c r="A302" s="111" t="s">
        <v>74</v>
      </c>
      <c r="B302" s="80">
        <v>2122.34</v>
      </c>
      <c r="C302" s="80">
        <v>2197.36</v>
      </c>
      <c r="D302" s="114">
        <v>2453.88</v>
      </c>
      <c r="E302" s="80">
        <v>2514.38</v>
      </c>
      <c r="F302" s="80">
        <v>2686.2</v>
      </c>
      <c r="G302" s="114">
        <v>3097.6</v>
      </c>
      <c r="H302" s="80">
        <v>3251.27</v>
      </c>
      <c r="I302" s="80">
        <v>3570.71</v>
      </c>
      <c r="J302" s="114">
        <v>3827.23</v>
      </c>
      <c r="K302" s="80">
        <v>4659.71</v>
      </c>
      <c r="L302" s="80">
        <v>5159.44</v>
      </c>
      <c r="M302" s="80">
        <v>5458.31</v>
      </c>
      <c r="N302" s="15"/>
    </row>
    <row r="303" ht="18.75" customHeight="1" spans="1:1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 ht="23.25" customHeight="1" spans="1:14">
      <c r="A304" s="120" t="s">
        <v>35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5"/>
    </row>
    <row r="305" ht="18.75" customHeight="1" spans="1:14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5" t="s">
        <v>52</v>
      </c>
      <c r="N305" s="15"/>
    </row>
    <row r="306" ht="18.75" customHeight="1" spans="1:14">
      <c r="A306" s="15"/>
      <c r="B306" s="94"/>
      <c r="C306" s="94"/>
      <c r="D306" s="94"/>
      <c r="E306" s="94"/>
      <c r="F306" s="94"/>
      <c r="G306" s="94"/>
      <c r="H306" s="94"/>
      <c r="I306" s="94"/>
      <c r="J306" s="94"/>
      <c r="N306" s="15"/>
    </row>
    <row r="307" ht="21" customHeight="1" spans="1:14">
      <c r="A307" s="96" t="s">
        <v>92</v>
      </c>
      <c r="N307" s="15"/>
    </row>
    <row r="308" ht="21" customHeight="1" spans="1:14">
      <c r="A308" s="96" t="s">
        <v>87</v>
      </c>
      <c r="J308" s="15"/>
      <c r="K308" s="15"/>
      <c r="L308" s="15"/>
      <c r="M308" s="15"/>
      <c r="N308" s="15"/>
    </row>
    <row r="309" ht="21" customHeight="1" spans="1:14">
      <c r="A309" s="91" t="s">
        <v>55</v>
      </c>
      <c r="J309" s="91"/>
      <c r="K309" s="91"/>
      <c r="L309" s="91"/>
      <c r="M309" s="91"/>
      <c r="N309" s="15"/>
    </row>
    <row r="310" ht="28.5" customHeight="1" spans="1:14">
      <c r="A310" s="98"/>
      <c r="B310" s="99" t="s">
        <v>56</v>
      </c>
      <c r="C310" s="86" t="s">
        <v>57</v>
      </c>
      <c r="D310" s="86" t="s">
        <v>58</v>
      </c>
      <c r="E310" s="86" t="s">
        <v>59</v>
      </c>
      <c r="F310" s="86" t="s">
        <v>60</v>
      </c>
      <c r="G310" s="86" t="s">
        <v>61</v>
      </c>
      <c r="H310" s="86" t="s">
        <v>62</v>
      </c>
      <c r="I310" s="86" t="s">
        <v>63</v>
      </c>
      <c r="J310" s="86" t="s">
        <v>64</v>
      </c>
      <c r="K310" s="86" t="s">
        <v>65</v>
      </c>
      <c r="L310" s="86" t="s">
        <v>66</v>
      </c>
      <c r="M310" s="86" t="s">
        <v>67</v>
      </c>
      <c r="N310" s="15"/>
    </row>
    <row r="311" ht="18.75" customHeight="1" spans="1:14">
      <c r="A311" s="111" t="s">
        <v>68</v>
      </c>
      <c r="B311" s="112">
        <v>3847.8</v>
      </c>
      <c r="C311" s="112">
        <v>4036.56</v>
      </c>
      <c r="D311" s="113">
        <v>4382.62</v>
      </c>
      <c r="E311" s="112">
        <v>4894.45</v>
      </c>
      <c r="F311" s="112">
        <v>5082</v>
      </c>
      <c r="G311" s="113">
        <v>4997.3</v>
      </c>
      <c r="H311" s="112">
        <v>6322.25</v>
      </c>
      <c r="I311" s="112">
        <v>6638.06</v>
      </c>
      <c r="J311" s="113">
        <v>6963.55</v>
      </c>
      <c r="K311" s="112">
        <v>8857.2</v>
      </c>
      <c r="L311" s="80">
        <v>9992.18</v>
      </c>
      <c r="M311" s="80">
        <v>10750.85</v>
      </c>
      <c r="N311" s="15"/>
    </row>
    <row r="312" ht="18.75" customHeight="1" spans="1:14">
      <c r="A312" s="89" t="s">
        <v>18</v>
      </c>
      <c r="B312" s="112">
        <v>3194.4</v>
      </c>
      <c r="C312" s="112">
        <v>3402.52</v>
      </c>
      <c r="D312" s="113">
        <v>3729.22</v>
      </c>
      <c r="E312" s="112">
        <v>4210.8</v>
      </c>
      <c r="F312" s="112">
        <v>4356</v>
      </c>
      <c r="G312" s="113">
        <v>4486.68</v>
      </c>
      <c r="H312" s="112">
        <v>5378.45</v>
      </c>
      <c r="I312" s="112">
        <v>5662.8</v>
      </c>
      <c r="J312" s="113">
        <v>5874.55</v>
      </c>
      <c r="K312" s="112">
        <v>7550.4</v>
      </c>
      <c r="L312" s="80">
        <v>8554.7</v>
      </c>
      <c r="M312" s="80">
        <v>9226.25</v>
      </c>
      <c r="N312" s="15"/>
    </row>
    <row r="313" ht="18.75" customHeight="1" spans="1:14">
      <c r="A313" s="89" t="s">
        <v>19</v>
      </c>
      <c r="B313" s="112">
        <v>2651.11</v>
      </c>
      <c r="C313" s="112">
        <v>2758.8</v>
      </c>
      <c r="D313" s="113">
        <v>3049.2</v>
      </c>
      <c r="E313" s="112">
        <v>3392.84</v>
      </c>
      <c r="F313" s="112">
        <v>3557.4</v>
      </c>
      <c r="G313" s="113">
        <v>3630</v>
      </c>
      <c r="H313" s="112">
        <v>4434.65</v>
      </c>
      <c r="I313" s="112">
        <v>4673.02</v>
      </c>
      <c r="J313" s="113">
        <v>4852.1</v>
      </c>
      <c r="K313" s="112">
        <v>6342.82</v>
      </c>
      <c r="L313" s="80">
        <v>7237.01</v>
      </c>
      <c r="M313" s="80">
        <v>7832.33</v>
      </c>
      <c r="N313" s="15"/>
    </row>
    <row r="314" ht="18.75" customHeight="1" spans="1:14">
      <c r="A314" s="89" t="s">
        <v>20</v>
      </c>
      <c r="B314" s="112">
        <v>2136.86</v>
      </c>
      <c r="C314" s="112">
        <v>2180.42</v>
      </c>
      <c r="D314" s="113">
        <v>2412.74</v>
      </c>
      <c r="E314" s="112">
        <v>2848.34</v>
      </c>
      <c r="F314" s="112">
        <v>2952.4</v>
      </c>
      <c r="G314" s="113">
        <v>3049.2</v>
      </c>
      <c r="H314" s="112">
        <v>3470.28</v>
      </c>
      <c r="I314" s="112">
        <v>3738.9</v>
      </c>
      <c r="J314" s="113">
        <v>4280.98</v>
      </c>
      <c r="K314" s="112">
        <v>5028.76</v>
      </c>
      <c r="L314" s="80">
        <v>5476.46</v>
      </c>
      <c r="M314" s="80">
        <v>5745.08</v>
      </c>
      <c r="N314" s="15"/>
    </row>
    <row r="315" ht="18.75" customHeight="1" spans="1:14">
      <c r="A315" s="89" t="s">
        <v>21</v>
      </c>
      <c r="B315" s="112">
        <v>1742.4</v>
      </c>
      <c r="C315" s="112">
        <v>1890.02</v>
      </c>
      <c r="D315" s="113">
        <v>2032.8</v>
      </c>
      <c r="E315" s="112">
        <v>2211.88</v>
      </c>
      <c r="F315" s="112">
        <v>2415.16</v>
      </c>
      <c r="G315" s="113">
        <v>2655.95</v>
      </c>
      <c r="H315" s="112">
        <v>2729.76</v>
      </c>
      <c r="I315" s="112">
        <v>2920.94</v>
      </c>
      <c r="J315" s="113">
        <v>3317.82</v>
      </c>
      <c r="K315" s="112">
        <v>3861.11</v>
      </c>
      <c r="L315" s="80">
        <v>4186.6</v>
      </c>
      <c r="M315" s="80">
        <v>4382.62</v>
      </c>
      <c r="N315" s="15"/>
    </row>
    <row r="316" ht="18.75" customHeight="1" spans="1:14">
      <c r="A316" s="89" t="s">
        <v>22</v>
      </c>
      <c r="B316" s="80">
        <v>1504.03</v>
      </c>
      <c r="C316" s="80">
        <v>1563.32</v>
      </c>
      <c r="D316" s="114">
        <v>1737.56</v>
      </c>
      <c r="E316" s="80">
        <v>1779.91</v>
      </c>
      <c r="F316" s="80">
        <v>1902.12</v>
      </c>
      <c r="G316" s="114">
        <v>1974.72</v>
      </c>
      <c r="H316" s="80">
        <v>2013.44</v>
      </c>
      <c r="I316" s="80">
        <v>2122.34</v>
      </c>
      <c r="J316" s="114">
        <v>2365.55</v>
      </c>
      <c r="K316" s="80">
        <v>2694.67</v>
      </c>
      <c r="L316" s="80">
        <v>2891.9</v>
      </c>
      <c r="M316" s="80">
        <v>3011.69</v>
      </c>
      <c r="N316" s="15"/>
    </row>
    <row r="317" ht="18.75" customHeight="1" spans="1:14">
      <c r="A317" s="89" t="s">
        <v>23</v>
      </c>
      <c r="B317" s="80">
        <v>4078.91</v>
      </c>
      <c r="C317" s="80">
        <v>4460.06</v>
      </c>
      <c r="D317" s="114">
        <v>4987.62</v>
      </c>
      <c r="E317" s="80">
        <v>5392.97</v>
      </c>
      <c r="F317" s="80">
        <v>5930.21</v>
      </c>
      <c r="G317" s="114">
        <v>6636.85</v>
      </c>
      <c r="H317" s="80">
        <v>7349.54</v>
      </c>
      <c r="I317" s="80">
        <v>7608.48</v>
      </c>
      <c r="J317" s="114">
        <v>8560.75</v>
      </c>
      <c r="K317" s="80">
        <v>11079.97</v>
      </c>
      <c r="L317" s="80">
        <v>12591.26</v>
      </c>
      <c r="M317" s="80">
        <v>13599.19</v>
      </c>
      <c r="N317" s="15"/>
    </row>
    <row r="318" ht="18.75" customHeight="1" spans="1:14">
      <c r="A318" s="89" t="s">
        <v>24</v>
      </c>
      <c r="B318" s="80">
        <v>3788.51</v>
      </c>
      <c r="C318" s="80">
        <v>4169.66</v>
      </c>
      <c r="D318" s="114">
        <v>4697.22</v>
      </c>
      <c r="E318" s="80">
        <v>5102.57</v>
      </c>
      <c r="F318" s="80">
        <v>5639.81</v>
      </c>
      <c r="G318" s="114">
        <v>6346.45</v>
      </c>
      <c r="H318" s="80">
        <v>7059.14</v>
      </c>
      <c r="I318" s="80">
        <v>7318.08</v>
      </c>
      <c r="J318" s="114">
        <v>8270.35</v>
      </c>
      <c r="K318" s="80">
        <v>10789.57</v>
      </c>
      <c r="L318" s="80">
        <v>12300.86</v>
      </c>
      <c r="M318" s="80">
        <v>13308.79</v>
      </c>
      <c r="N318" s="15"/>
    </row>
    <row r="319" ht="18.75" customHeight="1" spans="1:14">
      <c r="A319" s="89" t="s">
        <v>69</v>
      </c>
      <c r="B319" s="80">
        <v>5883.02</v>
      </c>
      <c r="C319" s="80">
        <v>6329.51</v>
      </c>
      <c r="D319" s="114">
        <v>6853.44</v>
      </c>
      <c r="E319" s="80">
        <v>7414.88</v>
      </c>
      <c r="F319" s="80">
        <v>7781.51</v>
      </c>
      <c r="G319" s="114">
        <v>8386.51</v>
      </c>
      <c r="H319" s="80">
        <v>8747.09</v>
      </c>
      <c r="I319" s="80">
        <v>9560.21</v>
      </c>
      <c r="J319" s="114">
        <v>10723.02</v>
      </c>
      <c r="K319" s="80">
        <v>12064.91</v>
      </c>
      <c r="L319" s="80">
        <v>12010.46</v>
      </c>
      <c r="M319" s="80">
        <v>13018.39</v>
      </c>
      <c r="N319" s="15"/>
    </row>
    <row r="320" ht="18.75" customHeight="1" spans="1:14">
      <c r="A320" s="89" t="s">
        <v>27</v>
      </c>
      <c r="B320" s="80">
        <v>7831.12</v>
      </c>
      <c r="C320" s="80">
        <v>8307.86</v>
      </c>
      <c r="D320" s="114">
        <v>8578.9</v>
      </c>
      <c r="E320" s="80">
        <v>9096.78</v>
      </c>
      <c r="F320" s="80">
        <v>9510.6</v>
      </c>
      <c r="G320" s="114">
        <v>10517.32</v>
      </c>
      <c r="H320" s="80">
        <v>11168.3</v>
      </c>
      <c r="I320" s="80">
        <v>12617.88</v>
      </c>
      <c r="J320" s="114">
        <v>15013.68</v>
      </c>
      <c r="K320" s="80">
        <v>18215.34</v>
      </c>
      <c r="L320" s="80">
        <v>20136.82</v>
      </c>
      <c r="M320" s="80">
        <v>21288.74</v>
      </c>
      <c r="N320" s="15"/>
    </row>
    <row r="321" ht="18.75" customHeight="1" spans="1:14">
      <c r="A321" s="115" t="s">
        <v>70</v>
      </c>
      <c r="B321" s="80">
        <v>14448.61</v>
      </c>
      <c r="C321" s="80">
        <v>14918.09</v>
      </c>
      <c r="D321" s="114">
        <v>15301.66</v>
      </c>
      <c r="E321" s="80">
        <v>15737.26</v>
      </c>
      <c r="F321" s="80">
        <v>16230.94</v>
      </c>
      <c r="G321" s="114">
        <v>17346.56</v>
      </c>
      <c r="H321" s="80">
        <v>17947.93</v>
      </c>
      <c r="I321" s="80">
        <v>19251.1</v>
      </c>
      <c r="J321" s="114">
        <v>21479.92</v>
      </c>
      <c r="K321" s="80">
        <v>25251.49</v>
      </c>
      <c r="L321" s="80">
        <v>27515.4</v>
      </c>
      <c r="M321" s="80">
        <v>28873.02</v>
      </c>
      <c r="N321" s="15"/>
    </row>
    <row r="322" ht="18.75" customHeight="1" spans="1:14">
      <c r="A322" s="89" t="s">
        <v>32</v>
      </c>
      <c r="B322" s="80">
        <v>1689.16</v>
      </c>
      <c r="C322" s="80">
        <v>1721.83</v>
      </c>
      <c r="D322" s="114">
        <v>1758.13</v>
      </c>
      <c r="E322" s="80">
        <v>1937.21</v>
      </c>
      <c r="F322" s="80">
        <v>2115.08</v>
      </c>
      <c r="G322" s="114">
        <v>2213.09</v>
      </c>
      <c r="H322" s="80">
        <v>2395.8</v>
      </c>
      <c r="I322" s="80">
        <v>2473.24</v>
      </c>
      <c r="J322" s="114">
        <v>2727.34</v>
      </c>
      <c r="K322" s="80">
        <v>3033.47</v>
      </c>
      <c r="L322" s="80">
        <v>3217.39</v>
      </c>
      <c r="M322" s="80">
        <v>3327.5</v>
      </c>
      <c r="N322" s="15"/>
    </row>
    <row r="323" ht="18.75" customHeight="1" spans="1:14">
      <c r="A323" s="89" t="s">
        <v>81</v>
      </c>
      <c r="B323" s="80">
        <v>4784.34</v>
      </c>
      <c r="C323" s="80">
        <v>4942.85</v>
      </c>
      <c r="D323" s="114">
        <v>4987.62</v>
      </c>
      <c r="E323" s="80">
        <v>5176.38</v>
      </c>
      <c r="F323" s="80">
        <v>5362.72</v>
      </c>
      <c r="G323" s="114">
        <v>5886.65</v>
      </c>
      <c r="H323" s="80">
        <v>6359.76</v>
      </c>
      <c r="I323" s="80">
        <v>6844.97</v>
      </c>
      <c r="J323" s="114">
        <v>7550.4</v>
      </c>
      <c r="K323" s="80">
        <v>9481.56</v>
      </c>
      <c r="L323" s="80">
        <v>10640.74</v>
      </c>
      <c r="M323" s="80">
        <v>11335.28</v>
      </c>
      <c r="N323" s="15"/>
    </row>
    <row r="324" ht="18.75" customHeight="1" spans="1:14">
      <c r="A324" s="89" t="s">
        <v>82</v>
      </c>
      <c r="B324" s="80">
        <v>5829.78</v>
      </c>
      <c r="C324" s="80">
        <v>6056.05</v>
      </c>
      <c r="D324" s="114">
        <v>6099.61</v>
      </c>
      <c r="E324" s="80">
        <v>6365.81</v>
      </c>
      <c r="F324" s="80">
        <v>6628.38</v>
      </c>
      <c r="G324" s="114">
        <v>7142.63</v>
      </c>
      <c r="H324" s="80">
        <v>7419.72</v>
      </c>
      <c r="I324" s="80">
        <v>8012.62</v>
      </c>
      <c r="J324" s="114">
        <v>8937.06</v>
      </c>
      <c r="K324" s="80">
        <v>10956.55</v>
      </c>
      <c r="L324" s="80">
        <v>12168.97</v>
      </c>
      <c r="M324" s="80">
        <v>12894.97</v>
      </c>
      <c r="N324" s="15"/>
    </row>
    <row r="325" ht="18.75" customHeight="1" spans="1:14">
      <c r="A325" s="89" t="s">
        <v>39</v>
      </c>
      <c r="B325" s="80">
        <v>3963.96</v>
      </c>
      <c r="C325" s="80">
        <v>4015.99</v>
      </c>
      <c r="D325" s="114">
        <v>4130.94</v>
      </c>
      <c r="E325" s="80">
        <v>4524.19</v>
      </c>
      <c r="F325" s="80">
        <v>4781.92</v>
      </c>
      <c r="G325" s="114">
        <v>5183.64</v>
      </c>
      <c r="H325" s="80">
        <v>5257.45</v>
      </c>
      <c r="I325" s="80">
        <v>5459.52</v>
      </c>
      <c r="J325" s="114">
        <v>5899.96</v>
      </c>
      <c r="K325" s="80">
        <v>6898.21</v>
      </c>
      <c r="L325" s="80">
        <v>7498.37</v>
      </c>
      <c r="M325" s="80">
        <v>7856.53</v>
      </c>
      <c r="N325" s="15"/>
    </row>
    <row r="326" ht="18.75" customHeight="1" spans="1:1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 ht="23.25" customHeight="1" spans="1:14">
      <c r="A327" s="120" t="s">
        <v>35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15"/>
    </row>
    <row r="328" ht="18.75" customHeight="1" spans="1:14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5" t="s">
        <v>52</v>
      </c>
      <c r="N328" s="15"/>
    </row>
    <row r="329" ht="18.75" customHeight="1" spans="1:14">
      <c r="A329" s="15"/>
      <c r="B329" s="94"/>
      <c r="C329" s="94"/>
      <c r="D329" s="94"/>
      <c r="E329" s="94"/>
      <c r="F329" s="94"/>
      <c r="G329" s="94"/>
      <c r="H329" s="94"/>
      <c r="I329" s="94"/>
      <c r="J329" s="94"/>
      <c r="N329" s="15"/>
    </row>
    <row r="330" ht="21" customHeight="1" spans="1:14">
      <c r="A330" s="96" t="s">
        <v>91</v>
      </c>
      <c r="N330" s="15"/>
    </row>
    <row r="331" ht="21" customHeight="1" spans="1:14">
      <c r="A331" s="96" t="s">
        <v>89</v>
      </c>
      <c r="K331" s="15"/>
      <c r="L331" s="15"/>
      <c r="M331" s="15"/>
      <c r="N331" s="15"/>
    </row>
    <row r="332" ht="21" customHeight="1" spans="1:14">
      <c r="A332" s="91" t="s">
        <v>55</v>
      </c>
      <c r="J332" s="91"/>
      <c r="K332" s="91"/>
      <c r="L332" s="91"/>
      <c r="M332" s="91"/>
      <c r="N332" s="15"/>
    </row>
    <row r="333" ht="28.5" customHeight="1" spans="1:14">
      <c r="A333" s="98"/>
      <c r="B333" s="99" t="s">
        <v>56</v>
      </c>
      <c r="C333" s="86" t="s">
        <v>57</v>
      </c>
      <c r="D333" s="86" t="s">
        <v>58</v>
      </c>
      <c r="E333" s="86" t="s">
        <v>59</v>
      </c>
      <c r="F333" s="86" t="s">
        <v>60</v>
      </c>
      <c r="G333" s="86" t="s">
        <v>61</v>
      </c>
      <c r="H333" s="86" t="s">
        <v>62</v>
      </c>
      <c r="I333" s="86" t="s">
        <v>63</v>
      </c>
      <c r="J333" s="86" t="s">
        <v>64</v>
      </c>
      <c r="K333" s="86" t="s">
        <v>65</v>
      </c>
      <c r="L333" s="86" t="s">
        <v>66</v>
      </c>
      <c r="M333" s="86" t="s">
        <v>67</v>
      </c>
      <c r="N333" s="15"/>
    </row>
    <row r="334" ht="18.75" customHeight="1" spans="1:14">
      <c r="A334" s="111" t="s">
        <v>68</v>
      </c>
      <c r="B334" s="117">
        <v>4183.355</v>
      </c>
      <c r="C334" s="117">
        <v>4252.93</v>
      </c>
      <c r="D334" s="118">
        <v>4559.06</v>
      </c>
      <c r="E334" s="117">
        <v>4927.175</v>
      </c>
      <c r="F334" s="117">
        <v>5313</v>
      </c>
      <c r="G334" s="118">
        <v>5540.7</v>
      </c>
      <c r="H334" s="117">
        <v>5811.41</v>
      </c>
      <c r="I334" s="117">
        <v>6375.6</v>
      </c>
      <c r="J334" s="118">
        <v>6982.8</v>
      </c>
      <c r="K334" s="117">
        <v>8500.8</v>
      </c>
      <c r="L334" s="117">
        <v>9791.1</v>
      </c>
      <c r="M334" s="117">
        <v>10018.8</v>
      </c>
      <c r="N334" s="15"/>
    </row>
    <row r="335" ht="18.75" customHeight="1" spans="1:14">
      <c r="A335" s="89" t="s">
        <v>18</v>
      </c>
      <c r="B335" s="117">
        <v>3429.415</v>
      </c>
      <c r="C335" s="117">
        <v>3690.005</v>
      </c>
      <c r="D335" s="118">
        <v>4006.255</v>
      </c>
      <c r="E335" s="117">
        <v>4285.82</v>
      </c>
      <c r="F335" s="117">
        <v>4540.085</v>
      </c>
      <c r="G335" s="118">
        <v>4757.665</v>
      </c>
      <c r="H335" s="117">
        <v>5029.64</v>
      </c>
      <c r="I335" s="117">
        <v>5745.63</v>
      </c>
      <c r="J335" s="118">
        <v>5913.875</v>
      </c>
      <c r="K335" s="117">
        <v>7286.4</v>
      </c>
      <c r="L335" s="117">
        <v>7923.96</v>
      </c>
      <c r="M335" s="117">
        <v>8385.685</v>
      </c>
      <c r="N335" s="15"/>
    </row>
    <row r="336" ht="18.75" customHeight="1" spans="1:14">
      <c r="A336" s="89" t="s">
        <v>19</v>
      </c>
      <c r="B336" s="117">
        <v>2671.68</v>
      </c>
      <c r="C336" s="117">
        <v>2896.85</v>
      </c>
      <c r="D336" s="118">
        <v>3157.44</v>
      </c>
      <c r="E336" s="117">
        <v>3393.995</v>
      </c>
      <c r="F336" s="117">
        <v>3716.57</v>
      </c>
      <c r="G336" s="118">
        <v>3946.8</v>
      </c>
      <c r="H336" s="117">
        <v>4103.66</v>
      </c>
      <c r="I336" s="117">
        <v>4456.595</v>
      </c>
      <c r="J336" s="118">
        <v>4857.6</v>
      </c>
      <c r="K336" s="117">
        <v>6147.9</v>
      </c>
      <c r="L336" s="117">
        <v>6557.76</v>
      </c>
      <c r="M336" s="117">
        <v>6982.8</v>
      </c>
      <c r="N336" s="15"/>
    </row>
    <row r="337" ht="18.75" customHeight="1" spans="1:14">
      <c r="A337" s="89" t="s">
        <v>20</v>
      </c>
      <c r="B337" s="117">
        <v>2217.545</v>
      </c>
      <c r="C337" s="117">
        <v>2419.945</v>
      </c>
      <c r="D337" s="118">
        <v>2647.645</v>
      </c>
      <c r="E337" s="117">
        <v>2860.165</v>
      </c>
      <c r="F337" s="117">
        <v>3081.54</v>
      </c>
      <c r="G337" s="118">
        <v>3187.8</v>
      </c>
      <c r="H337" s="117">
        <v>3352.25</v>
      </c>
      <c r="I337" s="117">
        <v>3590.07</v>
      </c>
      <c r="J337" s="118">
        <v>3946.8</v>
      </c>
      <c r="K337" s="117">
        <v>4753.87</v>
      </c>
      <c r="L337" s="117">
        <v>5238.365</v>
      </c>
      <c r="M337" s="117">
        <v>5562.205</v>
      </c>
      <c r="N337" s="15"/>
    </row>
    <row r="338" ht="18.75" customHeight="1" spans="1:14">
      <c r="A338" s="89" t="s">
        <v>21</v>
      </c>
      <c r="B338" s="117">
        <v>2103.695</v>
      </c>
      <c r="C338" s="117">
        <v>2130.26</v>
      </c>
      <c r="D338" s="118">
        <v>2221.34</v>
      </c>
      <c r="E338" s="117">
        <v>2285.855</v>
      </c>
      <c r="F338" s="117">
        <v>2456.63</v>
      </c>
      <c r="G338" s="118">
        <v>2575.54</v>
      </c>
      <c r="H338" s="117">
        <v>2627.405</v>
      </c>
      <c r="I338" s="117">
        <v>2798.18</v>
      </c>
      <c r="J338" s="118">
        <v>3167.56</v>
      </c>
      <c r="K338" s="117">
        <v>3645.73</v>
      </c>
      <c r="L338" s="117">
        <v>3932.885</v>
      </c>
      <c r="M338" s="117">
        <v>4123.9</v>
      </c>
      <c r="N338" s="15"/>
    </row>
    <row r="339" ht="18.75" customHeight="1" spans="1:14">
      <c r="A339" s="89" t="s">
        <v>22</v>
      </c>
      <c r="B339" s="117">
        <v>1604.02</v>
      </c>
      <c r="C339" s="117">
        <v>1619.2</v>
      </c>
      <c r="D339" s="118">
        <v>1672.33</v>
      </c>
      <c r="E339" s="117">
        <v>1712.81</v>
      </c>
      <c r="F339" s="117">
        <v>1811.48</v>
      </c>
      <c r="G339" s="118">
        <v>1894.97</v>
      </c>
      <c r="H339" s="117">
        <v>1925.33</v>
      </c>
      <c r="I339" s="117">
        <v>2158.09</v>
      </c>
      <c r="J339" s="118">
        <v>2392.115</v>
      </c>
      <c r="K339" s="117">
        <v>2686.86</v>
      </c>
      <c r="L339" s="117">
        <v>2862.695</v>
      </c>
      <c r="M339" s="117">
        <v>2981.605</v>
      </c>
      <c r="N339" s="15"/>
    </row>
    <row r="340" ht="18.75" customHeight="1" spans="1:14">
      <c r="A340" s="89" t="s">
        <v>23</v>
      </c>
      <c r="B340" s="117">
        <v>4733.63</v>
      </c>
      <c r="C340" s="117">
        <v>5118.19</v>
      </c>
      <c r="D340" s="118">
        <v>5353.48</v>
      </c>
      <c r="E340" s="117">
        <v>5907.55</v>
      </c>
      <c r="F340" s="117">
        <v>6293.375</v>
      </c>
      <c r="G340" s="118">
        <v>6691.85</v>
      </c>
      <c r="H340" s="117">
        <v>7033.4</v>
      </c>
      <c r="I340" s="117">
        <v>7930.285</v>
      </c>
      <c r="J340" s="118">
        <v>8806.93</v>
      </c>
      <c r="K340" s="117">
        <v>11044.715</v>
      </c>
      <c r="L340" s="117">
        <v>12174.36</v>
      </c>
      <c r="M340" s="117">
        <v>12753.73</v>
      </c>
      <c r="N340" s="15"/>
    </row>
    <row r="341" ht="18.75" customHeight="1" spans="1:14">
      <c r="A341" s="89" t="s">
        <v>24</v>
      </c>
      <c r="B341" s="117">
        <v>4430.03</v>
      </c>
      <c r="C341" s="117">
        <v>4814.59</v>
      </c>
      <c r="D341" s="118">
        <v>5049.88</v>
      </c>
      <c r="E341" s="117">
        <v>5603.95</v>
      </c>
      <c r="F341" s="117">
        <v>5989.775</v>
      </c>
      <c r="G341" s="118">
        <v>6388.25</v>
      </c>
      <c r="H341" s="117">
        <v>6767.75</v>
      </c>
      <c r="I341" s="117">
        <v>7626.685</v>
      </c>
      <c r="J341" s="118">
        <v>8503.33</v>
      </c>
      <c r="K341" s="117">
        <v>10741.115</v>
      </c>
      <c r="L341" s="117">
        <v>11870.76</v>
      </c>
      <c r="M341" s="117">
        <v>12450.13</v>
      </c>
      <c r="N341" s="15"/>
    </row>
    <row r="342" ht="18.75" customHeight="1" spans="1:14">
      <c r="A342" s="89" t="s">
        <v>69</v>
      </c>
      <c r="B342" s="117">
        <v>5677.32</v>
      </c>
      <c r="C342" s="117">
        <v>6059.35</v>
      </c>
      <c r="D342" s="118">
        <v>6552.7</v>
      </c>
      <c r="E342" s="117">
        <v>7374.95</v>
      </c>
      <c r="F342" s="117">
        <v>7466.03</v>
      </c>
      <c r="G342" s="118">
        <v>7969.5</v>
      </c>
      <c r="H342" s="117">
        <v>8417.31</v>
      </c>
      <c r="I342" s="117">
        <v>9361</v>
      </c>
      <c r="J342" s="118">
        <v>10168.07</v>
      </c>
      <c r="K342" s="117">
        <v>12486.815</v>
      </c>
      <c r="L342" s="117">
        <v>13879.58</v>
      </c>
      <c r="M342" s="117">
        <v>14806.825</v>
      </c>
      <c r="N342" s="15"/>
    </row>
    <row r="343" ht="18.75" customHeight="1" spans="1:14">
      <c r="A343" s="89" t="s">
        <v>27</v>
      </c>
      <c r="B343" s="117">
        <v>7674.755</v>
      </c>
      <c r="C343" s="117">
        <v>8066.905</v>
      </c>
      <c r="D343" s="118">
        <v>8429.96</v>
      </c>
      <c r="E343" s="117">
        <v>9030.835</v>
      </c>
      <c r="F343" s="117">
        <v>9502.68</v>
      </c>
      <c r="G343" s="118">
        <v>10539.98</v>
      </c>
      <c r="H343" s="117">
        <v>11683.54</v>
      </c>
      <c r="I343" s="117">
        <v>12871.375</v>
      </c>
      <c r="J343" s="118">
        <v>14760.02</v>
      </c>
      <c r="K343" s="117">
        <v>17431.7</v>
      </c>
      <c r="L343" s="117">
        <v>19034.455</v>
      </c>
      <c r="M343" s="117">
        <v>19997.12</v>
      </c>
      <c r="N343" s="15"/>
    </row>
    <row r="344" ht="18.75" customHeight="1" spans="1:14">
      <c r="A344" s="115" t="s">
        <v>70</v>
      </c>
      <c r="B344" s="117">
        <v>13884.64</v>
      </c>
      <c r="C344" s="117">
        <v>14351.425</v>
      </c>
      <c r="D344" s="118">
        <v>14752.43</v>
      </c>
      <c r="E344" s="117">
        <v>15196.445</v>
      </c>
      <c r="F344" s="117">
        <v>15691.06</v>
      </c>
      <c r="G344" s="118">
        <v>16782.755</v>
      </c>
      <c r="H344" s="117">
        <v>17372.245</v>
      </c>
      <c r="I344" s="117">
        <v>18641.04</v>
      </c>
      <c r="J344" s="118">
        <v>20950.93</v>
      </c>
      <c r="K344" s="117">
        <v>24924.295</v>
      </c>
      <c r="L344" s="117">
        <v>27307.555</v>
      </c>
      <c r="M344" s="117">
        <v>28964.705</v>
      </c>
      <c r="N344" s="15"/>
    </row>
    <row r="345" ht="18.75" customHeight="1" spans="1:14">
      <c r="A345" s="111" t="s">
        <v>71</v>
      </c>
      <c r="B345" s="117">
        <v>1664.74</v>
      </c>
      <c r="C345" s="117">
        <v>1700.16</v>
      </c>
      <c r="D345" s="118">
        <v>1821.6</v>
      </c>
      <c r="E345" s="117">
        <v>2018.94</v>
      </c>
      <c r="F345" s="117">
        <v>2169.475</v>
      </c>
      <c r="G345" s="118">
        <v>2301.035</v>
      </c>
      <c r="H345" s="117">
        <v>2498.375</v>
      </c>
      <c r="I345" s="117">
        <v>2580.6</v>
      </c>
      <c r="J345" s="118">
        <v>2884.2</v>
      </c>
      <c r="K345" s="117">
        <v>3300.385</v>
      </c>
      <c r="L345" s="117">
        <v>3549.59</v>
      </c>
      <c r="M345" s="117">
        <v>3698.86</v>
      </c>
      <c r="N345" s="15"/>
    </row>
    <row r="346" ht="18.75" customHeight="1" spans="1:14">
      <c r="A346" s="111" t="s">
        <v>72</v>
      </c>
      <c r="B346" s="117">
        <v>4662.79</v>
      </c>
      <c r="C346" s="117">
        <v>4807</v>
      </c>
      <c r="D346" s="118">
        <v>4874.045</v>
      </c>
      <c r="E346" s="117">
        <v>5062.53</v>
      </c>
      <c r="F346" s="117">
        <v>5230.775</v>
      </c>
      <c r="G346" s="118">
        <v>5633.045</v>
      </c>
      <c r="H346" s="117">
        <v>5820.265</v>
      </c>
      <c r="I346" s="117">
        <v>6230.125</v>
      </c>
      <c r="J346" s="118">
        <v>6989.125</v>
      </c>
      <c r="K346" s="117">
        <v>8431.225</v>
      </c>
      <c r="L346" s="117">
        <v>9296.485</v>
      </c>
      <c r="M346" s="117">
        <v>9815.135</v>
      </c>
      <c r="N346" s="15"/>
    </row>
    <row r="347" ht="18.75" customHeight="1" spans="1:14">
      <c r="A347" s="111" t="s">
        <v>73</v>
      </c>
      <c r="B347" s="117">
        <v>1889.91</v>
      </c>
      <c r="C347" s="117">
        <v>1968.34</v>
      </c>
      <c r="D347" s="118">
        <v>2108.755</v>
      </c>
      <c r="E347" s="117">
        <v>2223.87</v>
      </c>
      <c r="F347" s="117">
        <v>2307.36</v>
      </c>
      <c r="G347" s="118">
        <v>2586.925</v>
      </c>
      <c r="H347" s="117">
        <v>2769.085</v>
      </c>
      <c r="I347" s="117">
        <v>3224.485</v>
      </c>
      <c r="J347" s="118">
        <v>3497.725</v>
      </c>
      <c r="K347" s="117">
        <v>4289.615</v>
      </c>
      <c r="L347" s="117">
        <v>4765.255</v>
      </c>
      <c r="M347" s="117">
        <v>5049.88</v>
      </c>
      <c r="N347" s="15"/>
    </row>
    <row r="348" ht="18.75" customHeight="1" spans="1:14">
      <c r="A348" s="119" t="s">
        <v>74</v>
      </c>
      <c r="B348" s="117">
        <v>2385.79</v>
      </c>
      <c r="C348" s="117">
        <v>2504.7</v>
      </c>
      <c r="D348" s="118">
        <v>2671.68</v>
      </c>
      <c r="E348" s="117">
        <v>2767.82</v>
      </c>
      <c r="F348" s="117">
        <v>2915.825</v>
      </c>
      <c r="G348" s="118">
        <v>3395.26</v>
      </c>
      <c r="H348" s="117">
        <v>3622.96</v>
      </c>
      <c r="I348" s="117">
        <v>4021.435</v>
      </c>
      <c r="J348" s="118">
        <v>4484.425</v>
      </c>
      <c r="K348" s="117">
        <v>5382.575</v>
      </c>
      <c r="L348" s="117">
        <v>5921.465</v>
      </c>
      <c r="M348" s="117">
        <v>6245.305</v>
      </c>
      <c r="N348" s="15"/>
    </row>
    <row r="349" ht="18.75" customHeight="1" spans="1:14">
      <c r="A349" s="111" t="s">
        <v>77</v>
      </c>
      <c r="B349" s="117">
        <v>3149.85</v>
      </c>
      <c r="C349" s="117">
        <v>3233.34</v>
      </c>
      <c r="D349" s="118">
        <v>3496.46</v>
      </c>
      <c r="E349" s="117">
        <v>3795</v>
      </c>
      <c r="F349" s="117">
        <v>4022.7</v>
      </c>
      <c r="G349" s="118">
        <v>4552.735</v>
      </c>
      <c r="H349" s="117">
        <v>4973.98</v>
      </c>
      <c r="I349" s="117">
        <v>5396.49</v>
      </c>
      <c r="J349" s="118">
        <v>5902.49</v>
      </c>
      <c r="K349" s="117">
        <v>7164.96</v>
      </c>
      <c r="L349" s="117">
        <v>7922.695</v>
      </c>
      <c r="M349" s="117">
        <v>8427.43</v>
      </c>
      <c r="N349" s="15"/>
    </row>
    <row r="350" ht="18.75" customHeight="1" spans="1:1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 ht="23.25" customHeight="1" spans="1:14">
      <c r="A351" s="120" t="s">
        <v>35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15"/>
    </row>
    <row r="352" ht="18.75" customHeight="1" spans="1:14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5" t="s">
        <v>52</v>
      </c>
      <c r="N352" s="15"/>
    </row>
    <row r="353" ht="18.75" customHeight="1" spans="1:14">
      <c r="A353" s="15"/>
      <c r="B353" s="94"/>
      <c r="C353" s="94"/>
      <c r="D353" s="94"/>
      <c r="E353" s="94"/>
      <c r="F353" s="94"/>
      <c r="G353" s="94"/>
      <c r="H353" s="94"/>
      <c r="I353" s="94"/>
      <c r="J353" s="94"/>
      <c r="N353" s="15"/>
    </row>
    <row r="354" ht="21" customHeight="1" spans="1:14">
      <c r="A354" s="96" t="s">
        <v>92</v>
      </c>
      <c r="N354" s="15"/>
    </row>
    <row r="355" ht="21" customHeight="1" spans="1:14">
      <c r="A355" s="96" t="s">
        <v>89</v>
      </c>
      <c r="K355" s="15"/>
      <c r="L355" s="15"/>
      <c r="M355" s="15"/>
      <c r="N355" s="15"/>
    </row>
    <row r="356" ht="21" customHeight="1" spans="1:14">
      <c r="A356" s="91" t="s">
        <v>55</v>
      </c>
      <c r="J356" s="91"/>
      <c r="K356" s="91"/>
      <c r="L356" s="91"/>
      <c r="M356" s="91"/>
      <c r="N356" s="15"/>
    </row>
    <row r="357" ht="28.5" customHeight="1" spans="1:14">
      <c r="A357" s="98"/>
      <c r="B357" s="99" t="s">
        <v>56</v>
      </c>
      <c r="C357" s="86" t="s">
        <v>57</v>
      </c>
      <c r="D357" s="86" t="s">
        <v>58</v>
      </c>
      <c r="E357" s="86" t="s">
        <v>59</v>
      </c>
      <c r="F357" s="86" t="s">
        <v>60</v>
      </c>
      <c r="G357" s="86" t="s">
        <v>61</v>
      </c>
      <c r="H357" s="86" t="s">
        <v>62</v>
      </c>
      <c r="I357" s="86" t="s">
        <v>63</v>
      </c>
      <c r="J357" s="86" t="s">
        <v>64</v>
      </c>
      <c r="K357" s="86" t="s">
        <v>65</v>
      </c>
      <c r="L357" s="86" t="s">
        <v>66</v>
      </c>
      <c r="M357" s="86" t="s">
        <v>67</v>
      </c>
      <c r="N357" s="15"/>
    </row>
    <row r="358" ht="18.75" customHeight="1" spans="1:14">
      <c r="A358" s="111" t="s">
        <v>68</v>
      </c>
      <c r="B358" s="117">
        <v>4847.48</v>
      </c>
      <c r="C358" s="117">
        <v>5275.05</v>
      </c>
      <c r="D358" s="118">
        <v>5616.6</v>
      </c>
      <c r="E358" s="117">
        <v>6087.18</v>
      </c>
      <c r="F358" s="117">
        <v>6456.56</v>
      </c>
      <c r="G358" s="118">
        <v>6738.655</v>
      </c>
      <c r="H358" s="117">
        <v>7387.6</v>
      </c>
      <c r="I358" s="117">
        <v>8068.17</v>
      </c>
      <c r="J358" s="118">
        <v>8675.37</v>
      </c>
      <c r="K358" s="117">
        <v>11081.4</v>
      </c>
      <c r="L358" s="80">
        <v>12144</v>
      </c>
      <c r="M358" s="80">
        <v>13054.8</v>
      </c>
      <c r="N358" s="15"/>
    </row>
    <row r="359" ht="18.75" customHeight="1" spans="1:14">
      <c r="A359" s="89" t="s">
        <v>18</v>
      </c>
      <c r="B359" s="117">
        <v>4182.09</v>
      </c>
      <c r="C359" s="117">
        <v>4461.655</v>
      </c>
      <c r="D359" s="118">
        <v>4857.6</v>
      </c>
      <c r="E359" s="117">
        <v>5147.285</v>
      </c>
      <c r="F359" s="117">
        <v>5464.8</v>
      </c>
      <c r="G359" s="118">
        <v>5606.48</v>
      </c>
      <c r="H359" s="117">
        <v>6360.42</v>
      </c>
      <c r="I359" s="117">
        <v>7059.965</v>
      </c>
      <c r="J359" s="118">
        <v>7286.4</v>
      </c>
      <c r="K359" s="117">
        <v>9411.6</v>
      </c>
      <c r="L359" s="80">
        <v>10322.4</v>
      </c>
      <c r="M359" s="80">
        <v>11157.3</v>
      </c>
      <c r="N359" s="15"/>
    </row>
    <row r="360" ht="18.75" customHeight="1" spans="1:14">
      <c r="A360" s="89" t="s">
        <v>19</v>
      </c>
      <c r="B360" s="117">
        <v>3412.97</v>
      </c>
      <c r="C360" s="117">
        <v>3649.525</v>
      </c>
      <c r="D360" s="118">
        <v>3946.8</v>
      </c>
      <c r="E360" s="117">
        <v>4206.125</v>
      </c>
      <c r="F360" s="117">
        <v>4465.45</v>
      </c>
      <c r="G360" s="118">
        <v>4930.97</v>
      </c>
      <c r="H360" s="117">
        <v>5178.91</v>
      </c>
      <c r="I360" s="117">
        <v>5746.895</v>
      </c>
      <c r="J360" s="118">
        <v>6072</v>
      </c>
      <c r="K360" s="117">
        <v>7788.605</v>
      </c>
      <c r="L360" s="80">
        <v>8593.145</v>
      </c>
      <c r="M360" s="80">
        <v>9129.505</v>
      </c>
      <c r="N360" s="15"/>
    </row>
    <row r="361" ht="18.75" customHeight="1" spans="1:14">
      <c r="A361" s="89" t="s">
        <v>20</v>
      </c>
      <c r="B361" s="117">
        <v>3114.43</v>
      </c>
      <c r="C361" s="117">
        <v>3187.8</v>
      </c>
      <c r="D361" s="118">
        <v>3368.695</v>
      </c>
      <c r="E361" s="117">
        <v>3493.93</v>
      </c>
      <c r="F361" s="117">
        <v>3825.36</v>
      </c>
      <c r="G361" s="118">
        <v>3987.28</v>
      </c>
      <c r="H361" s="117">
        <v>4104.925</v>
      </c>
      <c r="I361" s="117">
        <v>4422.44</v>
      </c>
      <c r="J361" s="118">
        <v>5070.12</v>
      </c>
      <c r="K361" s="117">
        <v>5942.97</v>
      </c>
      <c r="L361" s="80">
        <v>6466.68</v>
      </c>
      <c r="M361" s="80">
        <v>6780.4</v>
      </c>
      <c r="N361" s="15"/>
    </row>
    <row r="362" ht="18.75" customHeight="1" spans="1:14">
      <c r="A362" s="89" t="s">
        <v>21</v>
      </c>
      <c r="B362" s="117">
        <v>2476.87</v>
      </c>
      <c r="C362" s="117">
        <v>2530</v>
      </c>
      <c r="D362" s="118">
        <v>2659.03</v>
      </c>
      <c r="E362" s="117">
        <v>2748.845</v>
      </c>
      <c r="F362" s="117">
        <v>2985.4</v>
      </c>
      <c r="G362" s="118">
        <v>3111.9</v>
      </c>
      <c r="H362" s="117">
        <v>3195.39</v>
      </c>
      <c r="I362" s="117">
        <v>3421.825</v>
      </c>
      <c r="J362" s="118">
        <v>3893.67</v>
      </c>
      <c r="K362" s="117">
        <v>4528.7</v>
      </c>
      <c r="L362" s="80">
        <v>4909.465</v>
      </c>
      <c r="M362" s="80">
        <v>5137.165</v>
      </c>
      <c r="N362" s="15"/>
    </row>
    <row r="363" ht="18.75" customHeight="1" spans="1:14">
      <c r="A363" s="89" t="s">
        <v>22</v>
      </c>
      <c r="B363" s="117">
        <v>1867.14</v>
      </c>
      <c r="C363" s="117">
        <v>1896.235</v>
      </c>
      <c r="D363" s="118">
        <v>1968.34</v>
      </c>
      <c r="E363" s="117">
        <v>2018.94</v>
      </c>
      <c r="F363" s="117">
        <v>2154.295</v>
      </c>
      <c r="G363" s="118">
        <v>2241.58</v>
      </c>
      <c r="H363" s="117">
        <v>2289.65</v>
      </c>
      <c r="I363" s="117">
        <v>2416.15</v>
      </c>
      <c r="J363" s="118">
        <v>2703.305</v>
      </c>
      <c r="K363" s="117">
        <v>3079.01</v>
      </c>
      <c r="L363" s="80">
        <v>3302.915</v>
      </c>
      <c r="M363" s="80">
        <v>3438.27</v>
      </c>
      <c r="N363" s="15"/>
    </row>
    <row r="364" ht="18.75" customHeight="1" spans="1:14">
      <c r="A364" s="89" t="s">
        <v>23</v>
      </c>
      <c r="B364" s="117">
        <v>5611.54</v>
      </c>
      <c r="C364" s="117">
        <v>5987.245</v>
      </c>
      <c r="D364" s="118">
        <v>6583.06</v>
      </c>
      <c r="E364" s="117">
        <v>7018.22</v>
      </c>
      <c r="F364" s="117">
        <v>7584.94</v>
      </c>
      <c r="G364" s="118">
        <v>8343.94</v>
      </c>
      <c r="H364" s="117">
        <v>9101.675</v>
      </c>
      <c r="I364" s="117">
        <v>9391.36</v>
      </c>
      <c r="J364" s="118">
        <v>10328.725</v>
      </c>
      <c r="K364" s="117">
        <v>13019.38</v>
      </c>
      <c r="L364" s="80">
        <v>14634.785</v>
      </c>
      <c r="M364" s="80">
        <v>15711.3</v>
      </c>
      <c r="N364" s="15"/>
    </row>
    <row r="365" ht="18.75" customHeight="1" spans="1:14">
      <c r="A365" s="89" t="s">
        <v>24</v>
      </c>
      <c r="B365" s="117">
        <v>5307.94</v>
      </c>
      <c r="C365" s="117">
        <v>5683.645</v>
      </c>
      <c r="D365" s="118">
        <v>6279.46</v>
      </c>
      <c r="E365" s="117">
        <v>6714.62</v>
      </c>
      <c r="F365" s="117">
        <v>7281.34</v>
      </c>
      <c r="G365" s="118">
        <v>8040.34</v>
      </c>
      <c r="H365" s="117">
        <v>8798.075</v>
      </c>
      <c r="I365" s="117">
        <v>9087.76</v>
      </c>
      <c r="J365" s="118">
        <v>10025.125</v>
      </c>
      <c r="K365" s="117">
        <v>12715.78</v>
      </c>
      <c r="L365" s="80">
        <v>14331.185</v>
      </c>
      <c r="M365" s="80">
        <v>15407.7</v>
      </c>
      <c r="N365" s="15"/>
    </row>
    <row r="366" ht="18.75" customHeight="1" spans="1:14">
      <c r="A366" s="89" t="s">
        <v>69</v>
      </c>
      <c r="B366" s="117">
        <v>6647.575</v>
      </c>
      <c r="C366" s="117">
        <v>7280.075</v>
      </c>
      <c r="D366" s="118">
        <v>7843</v>
      </c>
      <c r="E366" s="117">
        <v>8447.67</v>
      </c>
      <c r="F366" s="117">
        <v>8790.485</v>
      </c>
      <c r="G366" s="118">
        <v>9455.875</v>
      </c>
      <c r="H366" s="117">
        <v>9879.65</v>
      </c>
      <c r="I366" s="117">
        <v>10800.57</v>
      </c>
      <c r="J366" s="118">
        <v>11982.08</v>
      </c>
      <c r="K366" s="117">
        <v>14838.45</v>
      </c>
      <c r="L366" s="80">
        <v>16552.525</v>
      </c>
      <c r="M366" s="80">
        <v>17694.82</v>
      </c>
      <c r="N366" s="15"/>
    </row>
    <row r="367" ht="18.75" customHeight="1" spans="1:14">
      <c r="A367" s="89" t="s">
        <v>27</v>
      </c>
      <c r="B367" s="117">
        <v>8771.51</v>
      </c>
      <c r="C367" s="117">
        <v>9212.995</v>
      </c>
      <c r="D367" s="118">
        <v>9563.4</v>
      </c>
      <c r="E367" s="117">
        <v>10118.735</v>
      </c>
      <c r="F367" s="117">
        <v>10695.575</v>
      </c>
      <c r="G367" s="118">
        <v>11579.81</v>
      </c>
      <c r="H367" s="117">
        <v>12323.63</v>
      </c>
      <c r="I367" s="117">
        <v>13970.66</v>
      </c>
      <c r="J367" s="118">
        <v>16491.805</v>
      </c>
      <c r="K367" s="117">
        <v>19968.025</v>
      </c>
      <c r="L367" s="80">
        <v>22054.01</v>
      </c>
      <c r="M367" s="80">
        <v>23303.83</v>
      </c>
      <c r="N367" s="15"/>
    </row>
    <row r="368" ht="18.75" customHeight="1" spans="1:14">
      <c r="A368" s="115" t="s">
        <v>70</v>
      </c>
      <c r="B368" s="117">
        <v>15660.7</v>
      </c>
      <c r="C368" s="117">
        <v>16194.53</v>
      </c>
      <c r="D368" s="118">
        <v>16638.545</v>
      </c>
      <c r="E368" s="117">
        <v>17140.75</v>
      </c>
      <c r="F368" s="117">
        <v>17704.94</v>
      </c>
      <c r="G368" s="118">
        <v>18952.23</v>
      </c>
      <c r="H368" s="117">
        <v>19632.8</v>
      </c>
      <c r="I368" s="117">
        <v>21102.73</v>
      </c>
      <c r="J368" s="118">
        <v>23590.985</v>
      </c>
      <c r="K368" s="117">
        <v>27916.02</v>
      </c>
      <c r="L368" s="80">
        <v>30510.535</v>
      </c>
      <c r="M368" s="80">
        <v>32067.75</v>
      </c>
      <c r="N368" s="15"/>
    </row>
    <row r="369" ht="18.75" customHeight="1" spans="1:14">
      <c r="A369" s="111" t="s">
        <v>32</v>
      </c>
      <c r="B369" s="117">
        <v>1816.54</v>
      </c>
      <c r="C369" s="117">
        <v>1851.96</v>
      </c>
      <c r="D369" s="118">
        <v>1973.4</v>
      </c>
      <c r="E369" s="117">
        <v>2170.74</v>
      </c>
      <c r="F369" s="117">
        <v>2321.275</v>
      </c>
      <c r="G369" s="118">
        <v>2452.835</v>
      </c>
      <c r="H369" s="117">
        <v>2650.175</v>
      </c>
      <c r="I369" s="117">
        <v>2732.4</v>
      </c>
      <c r="J369" s="118">
        <v>3036</v>
      </c>
      <c r="K369" s="117">
        <v>3452.185</v>
      </c>
      <c r="L369" s="80">
        <v>3701.39</v>
      </c>
      <c r="M369" s="80">
        <v>3850.66</v>
      </c>
      <c r="N369" s="15"/>
    </row>
    <row r="370" ht="18.75" customHeight="1" spans="1:14">
      <c r="A370" s="89" t="s">
        <v>81</v>
      </c>
      <c r="B370" s="117">
        <v>5084.035</v>
      </c>
      <c r="C370" s="117">
        <v>5299.085</v>
      </c>
      <c r="D370" s="118">
        <v>5372.455</v>
      </c>
      <c r="E370" s="117">
        <v>5610.275</v>
      </c>
      <c r="F370" s="117">
        <v>5865.805</v>
      </c>
      <c r="G370" s="118">
        <v>6480.595</v>
      </c>
      <c r="H370" s="117">
        <v>6917.02</v>
      </c>
      <c r="I370" s="117">
        <v>7603.915</v>
      </c>
      <c r="J370" s="118">
        <v>8508.39</v>
      </c>
      <c r="K370" s="117">
        <v>10460.285</v>
      </c>
      <c r="L370" s="80">
        <v>11632.94</v>
      </c>
      <c r="M370" s="80">
        <v>12335.015</v>
      </c>
      <c r="N370" s="15"/>
    </row>
    <row r="371" ht="18.75" customHeight="1" spans="1:14">
      <c r="A371" s="89" t="s">
        <v>82</v>
      </c>
      <c r="B371" s="117">
        <v>6602.035</v>
      </c>
      <c r="C371" s="117">
        <v>6817.085</v>
      </c>
      <c r="D371" s="118">
        <v>6890.455</v>
      </c>
      <c r="E371" s="117">
        <v>7128.275</v>
      </c>
      <c r="F371" s="117">
        <v>7383.805</v>
      </c>
      <c r="G371" s="118">
        <v>7998.595</v>
      </c>
      <c r="H371" s="117">
        <v>8435.02</v>
      </c>
      <c r="I371" s="117">
        <v>9121.915</v>
      </c>
      <c r="J371" s="118">
        <v>10026.39</v>
      </c>
      <c r="K371" s="117">
        <v>11978.285</v>
      </c>
      <c r="L371" s="80">
        <v>13150.94</v>
      </c>
      <c r="M371" s="80">
        <v>13853.015</v>
      </c>
      <c r="N371" s="15"/>
    </row>
    <row r="372" ht="18.75" customHeight="1" spans="1:14">
      <c r="A372" s="89" t="s">
        <v>39</v>
      </c>
      <c r="B372" s="117">
        <v>4554</v>
      </c>
      <c r="C372" s="117">
        <v>5147.285</v>
      </c>
      <c r="D372" s="118">
        <v>5220.655</v>
      </c>
      <c r="E372" s="117">
        <v>5458.475</v>
      </c>
      <c r="F372" s="117">
        <v>5714.005</v>
      </c>
      <c r="G372" s="118">
        <v>6176.995</v>
      </c>
      <c r="H372" s="117">
        <v>6461.62</v>
      </c>
      <c r="I372" s="117">
        <v>6996.715</v>
      </c>
      <c r="J372" s="118">
        <v>7744.33</v>
      </c>
      <c r="K372" s="117">
        <v>9549.485</v>
      </c>
      <c r="L372" s="80">
        <v>10632.325</v>
      </c>
      <c r="M372" s="80">
        <v>11281.27</v>
      </c>
      <c r="N372" s="15"/>
    </row>
    <row r="373" ht="18.75" customHeight="1" spans="1:1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 ht="23.25" customHeight="1" spans="1:14">
      <c r="A374" s="120" t="s">
        <v>35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15"/>
    </row>
    <row r="375" ht="18.75" customHeight="1" spans="1:14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5" t="s">
        <v>52</v>
      </c>
      <c r="N375" s="15"/>
    </row>
    <row r="376" ht="18.75" customHeight="1" spans="1:14">
      <c r="A376" s="15"/>
      <c r="B376" s="94"/>
      <c r="C376" s="94"/>
      <c r="D376" s="94"/>
      <c r="E376" s="94"/>
      <c r="F376" s="94"/>
      <c r="G376" s="94"/>
      <c r="H376" s="94"/>
      <c r="I376" s="94"/>
      <c r="J376" s="94"/>
      <c r="N376" s="15"/>
    </row>
    <row r="377" ht="21" customHeight="1" spans="1:14">
      <c r="A377" s="96" t="s">
        <v>91</v>
      </c>
      <c r="N377" s="15"/>
    </row>
    <row r="378" ht="21" customHeight="1" spans="1:14">
      <c r="A378" s="96" t="s">
        <v>90</v>
      </c>
      <c r="K378" s="15"/>
      <c r="L378" s="15"/>
      <c r="M378" s="15"/>
      <c r="N378" s="15"/>
    </row>
    <row r="379" ht="21" customHeight="1" spans="1:14">
      <c r="A379" s="91" t="s">
        <v>55</v>
      </c>
      <c r="J379" s="91"/>
      <c r="K379" s="91"/>
      <c r="L379" s="91"/>
      <c r="M379" s="91"/>
      <c r="N379" s="15"/>
    </row>
    <row r="380" ht="28.5" customHeight="1" spans="1:14">
      <c r="A380" s="98"/>
      <c r="B380" s="99" t="s">
        <v>56</v>
      </c>
      <c r="C380" s="86" t="s">
        <v>57</v>
      </c>
      <c r="D380" s="86" t="s">
        <v>58</v>
      </c>
      <c r="E380" s="86" t="s">
        <v>59</v>
      </c>
      <c r="F380" s="86" t="s">
        <v>60</v>
      </c>
      <c r="G380" s="86" t="s">
        <v>61</v>
      </c>
      <c r="H380" s="86" t="s">
        <v>62</v>
      </c>
      <c r="I380" s="86" t="s">
        <v>63</v>
      </c>
      <c r="J380" s="86" t="s">
        <v>64</v>
      </c>
      <c r="K380" s="86" t="s">
        <v>65</v>
      </c>
      <c r="L380" s="86" t="s">
        <v>66</v>
      </c>
      <c r="M380" s="86" t="s">
        <v>67</v>
      </c>
      <c r="N380" s="15"/>
    </row>
    <row r="381" ht="18.75" customHeight="1" spans="1:14">
      <c r="A381" s="111" t="s">
        <v>68</v>
      </c>
      <c r="B381" s="117">
        <v>5019.52</v>
      </c>
      <c r="C381" s="117">
        <v>5103.01</v>
      </c>
      <c r="D381" s="118">
        <v>5471.125</v>
      </c>
      <c r="E381" s="117">
        <v>5912.61</v>
      </c>
      <c r="F381" s="117">
        <v>6375.6</v>
      </c>
      <c r="G381" s="118">
        <v>6648.84</v>
      </c>
      <c r="H381" s="117">
        <v>6973.945</v>
      </c>
      <c r="I381" s="117">
        <v>7650.72</v>
      </c>
      <c r="J381" s="118">
        <v>8379.36</v>
      </c>
      <c r="K381" s="117">
        <v>10200.96</v>
      </c>
      <c r="L381" s="117">
        <v>11293.92</v>
      </c>
      <c r="M381" s="117">
        <v>12022.56</v>
      </c>
      <c r="N381" s="15"/>
    </row>
    <row r="382" ht="18.75" customHeight="1" spans="1:14">
      <c r="A382" s="111" t="s">
        <v>18</v>
      </c>
      <c r="B382" s="117">
        <v>4115.045</v>
      </c>
      <c r="C382" s="117">
        <v>4427.5</v>
      </c>
      <c r="D382" s="118">
        <v>4807</v>
      </c>
      <c r="E382" s="117">
        <v>5143.49</v>
      </c>
      <c r="F382" s="117">
        <v>5448.355</v>
      </c>
      <c r="G382" s="118">
        <v>5708.945</v>
      </c>
      <c r="H382" s="117">
        <v>6035.315</v>
      </c>
      <c r="I382" s="117">
        <v>6894.25</v>
      </c>
      <c r="J382" s="118">
        <v>7096.65</v>
      </c>
      <c r="K382" s="117">
        <v>8743.68</v>
      </c>
      <c r="L382" s="117">
        <v>9509.005</v>
      </c>
      <c r="M382" s="117">
        <v>10063.075</v>
      </c>
      <c r="N382" s="15"/>
    </row>
    <row r="383" ht="18.75" customHeight="1" spans="1:14">
      <c r="A383" s="111" t="s">
        <v>19</v>
      </c>
      <c r="B383" s="117">
        <v>3205.51</v>
      </c>
      <c r="C383" s="117">
        <v>3476.22</v>
      </c>
      <c r="D383" s="118">
        <v>3788.675</v>
      </c>
      <c r="E383" s="117">
        <v>4073.3</v>
      </c>
      <c r="F383" s="117">
        <v>4460.39</v>
      </c>
      <c r="G383" s="118">
        <v>4736.16</v>
      </c>
      <c r="H383" s="117">
        <v>4924.645</v>
      </c>
      <c r="I383" s="117">
        <v>5348.42</v>
      </c>
      <c r="J383" s="118">
        <v>5829.12</v>
      </c>
      <c r="K383" s="117">
        <v>7104.24</v>
      </c>
      <c r="L383" s="117">
        <v>7869.565</v>
      </c>
      <c r="M383" s="117">
        <v>8379.36</v>
      </c>
      <c r="N383" s="15"/>
    </row>
    <row r="384" ht="18.75" customHeight="1" spans="1:14">
      <c r="A384" s="111" t="s">
        <v>20</v>
      </c>
      <c r="B384" s="117">
        <v>2661.56</v>
      </c>
      <c r="C384" s="117">
        <v>2904.44</v>
      </c>
      <c r="D384" s="118">
        <v>3177.68</v>
      </c>
      <c r="E384" s="117">
        <v>3431.945</v>
      </c>
      <c r="F384" s="117">
        <v>3697.595</v>
      </c>
      <c r="G384" s="118">
        <v>3825.36</v>
      </c>
      <c r="H384" s="117">
        <v>4022.7</v>
      </c>
      <c r="I384" s="117">
        <v>4308.59</v>
      </c>
      <c r="J384" s="118">
        <v>4736.16</v>
      </c>
      <c r="K384" s="117">
        <v>5705.15</v>
      </c>
      <c r="L384" s="117">
        <v>6285.785</v>
      </c>
      <c r="M384" s="117">
        <v>6674.14</v>
      </c>
      <c r="N384" s="15"/>
    </row>
    <row r="385" ht="18.75" customHeight="1" spans="1:14">
      <c r="A385" s="111" t="s">
        <v>21</v>
      </c>
      <c r="B385" s="117">
        <v>2524.94</v>
      </c>
      <c r="C385" s="117">
        <v>2556.565</v>
      </c>
      <c r="D385" s="118">
        <v>2665.355</v>
      </c>
      <c r="E385" s="117">
        <v>2742.52</v>
      </c>
      <c r="F385" s="117">
        <v>2947.45</v>
      </c>
      <c r="G385" s="118">
        <v>3090.395</v>
      </c>
      <c r="H385" s="117">
        <v>3152.38</v>
      </c>
      <c r="I385" s="117">
        <v>3357.31</v>
      </c>
      <c r="J385" s="118">
        <v>3801.325</v>
      </c>
      <c r="K385" s="117">
        <v>4374.37</v>
      </c>
      <c r="L385" s="117">
        <v>4719.715</v>
      </c>
      <c r="M385" s="117">
        <v>4948.68</v>
      </c>
      <c r="N385" s="15"/>
    </row>
    <row r="386" ht="18.75" customHeight="1" spans="1:14">
      <c r="A386" s="111" t="s">
        <v>22</v>
      </c>
      <c r="B386" s="117">
        <v>1925.33</v>
      </c>
      <c r="C386" s="117">
        <v>1943.04</v>
      </c>
      <c r="D386" s="118">
        <v>2006.29</v>
      </c>
      <c r="E386" s="117">
        <v>2055.625</v>
      </c>
      <c r="F386" s="117">
        <v>2173.27</v>
      </c>
      <c r="G386" s="118">
        <v>2274.47</v>
      </c>
      <c r="H386" s="117">
        <v>2309.89</v>
      </c>
      <c r="I386" s="117">
        <v>2589.455</v>
      </c>
      <c r="J386" s="118">
        <v>2870.285</v>
      </c>
      <c r="K386" s="117">
        <v>3224.485</v>
      </c>
      <c r="L386" s="117">
        <v>3437.005</v>
      </c>
      <c r="M386" s="117">
        <v>3577.42</v>
      </c>
      <c r="N386" s="15"/>
    </row>
    <row r="387" ht="18.75" customHeight="1" spans="1:14">
      <c r="A387" s="111" t="s">
        <v>23</v>
      </c>
      <c r="B387" s="117">
        <v>5679.85</v>
      </c>
      <c r="C387" s="117">
        <v>6141.575</v>
      </c>
      <c r="D387" s="118">
        <v>6423.67</v>
      </c>
      <c r="E387" s="117">
        <v>7089.06</v>
      </c>
      <c r="F387" s="117">
        <v>7552.05</v>
      </c>
      <c r="G387" s="118">
        <v>8030.22</v>
      </c>
      <c r="H387" s="117">
        <v>8485.62</v>
      </c>
      <c r="I387" s="117">
        <v>9516.595</v>
      </c>
      <c r="J387" s="118">
        <v>10567.81</v>
      </c>
      <c r="K387" s="117">
        <v>13253.405</v>
      </c>
      <c r="L387" s="117">
        <v>14609.485</v>
      </c>
      <c r="M387" s="117">
        <v>15303.97</v>
      </c>
      <c r="N387" s="15"/>
    </row>
    <row r="388" ht="18.75" customHeight="1" spans="1:14">
      <c r="A388" s="111" t="s">
        <v>24</v>
      </c>
      <c r="B388" s="117">
        <v>5315.53</v>
      </c>
      <c r="C388" s="117">
        <v>5777.255</v>
      </c>
      <c r="D388" s="118">
        <v>6059.35</v>
      </c>
      <c r="E388" s="117">
        <v>6724.74</v>
      </c>
      <c r="F388" s="117">
        <v>7187.73</v>
      </c>
      <c r="G388" s="118">
        <v>7665.9</v>
      </c>
      <c r="H388" s="117">
        <v>8121.3</v>
      </c>
      <c r="I388" s="117">
        <v>9152.275</v>
      </c>
      <c r="J388" s="118">
        <v>10203.49</v>
      </c>
      <c r="K388" s="117">
        <v>12889.085</v>
      </c>
      <c r="L388" s="117">
        <v>14245.165</v>
      </c>
      <c r="M388" s="117">
        <v>14939.65</v>
      </c>
      <c r="N388" s="15"/>
    </row>
    <row r="389" ht="18.75" customHeight="1" spans="1:14">
      <c r="A389" s="111" t="s">
        <v>44</v>
      </c>
      <c r="B389" s="117">
        <v>6813.29</v>
      </c>
      <c r="C389" s="117">
        <v>7271.22</v>
      </c>
      <c r="D389" s="118">
        <v>7863.24</v>
      </c>
      <c r="E389" s="117">
        <v>8849.94</v>
      </c>
      <c r="F389" s="117">
        <v>8958.73</v>
      </c>
      <c r="G389" s="118">
        <v>9563.4</v>
      </c>
      <c r="H389" s="117">
        <v>10101.025</v>
      </c>
      <c r="I389" s="117">
        <v>11233.2</v>
      </c>
      <c r="J389" s="118">
        <v>11971.96</v>
      </c>
      <c r="K389" s="117">
        <v>14983.925</v>
      </c>
      <c r="L389" s="117">
        <v>16653.725</v>
      </c>
      <c r="M389" s="117">
        <v>17768.19</v>
      </c>
      <c r="N389" s="15"/>
    </row>
    <row r="390" ht="18.75" customHeight="1" spans="1:14">
      <c r="A390" s="111" t="s">
        <v>45</v>
      </c>
      <c r="B390" s="117">
        <v>9209.2</v>
      </c>
      <c r="C390" s="117">
        <v>9679.78</v>
      </c>
      <c r="D390" s="118">
        <v>10116.205</v>
      </c>
      <c r="E390" s="117">
        <v>10837.255</v>
      </c>
      <c r="F390" s="117">
        <v>11402.71</v>
      </c>
      <c r="G390" s="118">
        <v>12647.47</v>
      </c>
      <c r="H390" s="117">
        <v>14019.995</v>
      </c>
      <c r="I390" s="117">
        <v>15445.65</v>
      </c>
      <c r="J390" s="118">
        <v>17712.53</v>
      </c>
      <c r="K390" s="117">
        <v>20918.04</v>
      </c>
      <c r="L390" s="117">
        <v>22840.84</v>
      </c>
      <c r="M390" s="117">
        <v>23997.05</v>
      </c>
      <c r="N390" s="15"/>
    </row>
    <row r="391" ht="18.75" customHeight="1" spans="1:14">
      <c r="A391" s="115" t="s">
        <v>46</v>
      </c>
      <c r="B391" s="117">
        <v>16661.315</v>
      </c>
      <c r="C391" s="117">
        <v>17221.71</v>
      </c>
      <c r="D391" s="118">
        <v>17702.41</v>
      </c>
      <c r="E391" s="117">
        <v>18236.24</v>
      </c>
      <c r="F391" s="117">
        <v>18829.525</v>
      </c>
      <c r="G391" s="118">
        <v>20138.8</v>
      </c>
      <c r="H391" s="117">
        <v>20847.2</v>
      </c>
      <c r="I391" s="117">
        <v>22368.995</v>
      </c>
      <c r="J391" s="118">
        <v>25140.61</v>
      </c>
      <c r="K391" s="117">
        <v>29909.66</v>
      </c>
      <c r="L391" s="117">
        <v>32768.56</v>
      </c>
      <c r="M391" s="117">
        <v>34757.14</v>
      </c>
      <c r="N391" s="15"/>
    </row>
    <row r="392" ht="18.75" customHeight="1" spans="1:14">
      <c r="A392" s="111" t="s">
        <v>32</v>
      </c>
      <c r="B392" s="117">
        <v>1997.435</v>
      </c>
      <c r="C392" s="117">
        <v>2040.445</v>
      </c>
      <c r="D392" s="118">
        <v>2185.92</v>
      </c>
      <c r="E392" s="117">
        <v>2422.475</v>
      </c>
      <c r="F392" s="117">
        <v>2603.37</v>
      </c>
      <c r="G392" s="118">
        <v>2761.495</v>
      </c>
      <c r="H392" s="117">
        <v>2998.05</v>
      </c>
      <c r="I392" s="117">
        <v>3096.72</v>
      </c>
      <c r="J392" s="118">
        <v>3461.04</v>
      </c>
      <c r="K392" s="117">
        <v>3960.715</v>
      </c>
      <c r="L392" s="117">
        <v>4259.255</v>
      </c>
      <c r="M392" s="117">
        <v>4438.885</v>
      </c>
      <c r="N392" s="15"/>
    </row>
    <row r="393" ht="18.75" customHeight="1" spans="1:14">
      <c r="A393" s="111" t="s">
        <v>72</v>
      </c>
      <c r="B393" s="117">
        <v>5595.095</v>
      </c>
      <c r="C393" s="117">
        <v>5768.4</v>
      </c>
      <c r="D393" s="118">
        <v>5849.36</v>
      </c>
      <c r="E393" s="117">
        <v>6074.53</v>
      </c>
      <c r="F393" s="117">
        <v>6276.93</v>
      </c>
      <c r="G393" s="118">
        <v>6760.16</v>
      </c>
      <c r="H393" s="117">
        <v>6984.065</v>
      </c>
      <c r="I393" s="117">
        <v>7476.15</v>
      </c>
      <c r="J393" s="118">
        <v>8386.95</v>
      </c>
      <c r="K393" s="117">
        <v>10117.47</v>
      </c>
      <c r="L393" s="117">
        <v>11156.035</v>
      </c>
      <c r="M393" s="117">
        <v>11778.415</v>
      </c>
      <c r="N393" s="15"/>
    </row>
    <row r="394" ht="18.75" customHeight="1" spans="1:14">
      <c r="A394" s="111" t="s">
        <v>73</v>
      </c>
      <c r="B394" s="117">
        <v>2268.145</v>
      </c>
      <c r="C394" s="117">
        <v>2361.755</v>
      </c>
      <c r="D394" s="118">
        <v>2530</v>
      </c>
      <c r="E394" s="117">
        <v>2669.15</v>
      </c>
      <c r="F394" s="117">
        <v>2769.085</v>
      </c>
      <c r="G394" s="118">
        <v>3104.31</v>
      </c>
      <c r="H394" s="117">
        <v>3323.155</v>
      </c>
      <c r="I394" s="117">
        <v>3869.635</v>
      </c>
      <c r="J394" s="118">
        <v>4197.27</v>
      </c>
      <c r="K394" s="117">
        <v>5147.285</v>
      </c>
      <c r="L394" s="117">
        <v>5717.8</v>
      </c>
      <c r="M394" s="117">
        <v>6059.35</v>
      </c>
      <c r="N394" s="15"/>
    </row>
    <row r="395" ht="18.75" customHeight="1" spans="1:14">
      <c r="A395" s="111" t="s">
        <v>74</v>
      </c>
      <c r="B395" s="117">
        <v>2862.695</v>
      </c>
      <c r="C395" s="117">
        <v>3005.64</v>
      </c>
      <c r="D395" s="118">
        <v>3205.51</v>
      </c>
      <c r="E395" s="117">
        <v>3321.89</v>
      </c>
      <c r="F395" s="117">
        <v>3498.99</v>
      </c>
      <c r="G395" s="118">
        <v>4074.565</v>
      </c>
      <c r="H395" s="117">
        <v>4347.805</v>
      </c>
      <c r="I395" s="117">
        <v>4825.975</v>
      </c>
      <c r="J395" s="118">
        <v>5381.31</v>
      </c>
      <c r="K395" s="117">
        <v>6459.09</v>
      </c>
      <c r="L395" s="117">
        <v>7105.505</v>
      </c>
      <c r="M395" s="117">
        <v>7493.86</v>
      </c>
      <c r="N395" s="15"/>
    </row>
    <row r="396" ht="18.75" customHeight="1" spans="1:14">
      <c r="A396" s="111" t="s">
        <v>77</v>
      </c>
      <c r="B396" s="117">
        <v>3779.82</v>
      </c>
      <c r="C396" s="117">
        <v>3879.755</v>
      </c>
      <c r="D396" s="118">
        <v>4196.005</v>
      </c>
      <c r="E396" s="117">
        <v>4554</v>
      </c>
      <c r="F396" s="117">
        <v>4827.24</v>
      </c>
      <c r="G396" s="118">
        <v>5178.91</v>
      </c>
      <c r="H396" s="117">
        <v>5543.23</v>
      </c>
      <c r="I396" s="117">
        <v>6101.095</v>
      </c>
      <c r="J396" s="118">
        <v>6722.21</v>
      </c>
      <c r="K396" s="117">
        <v>7195.32</v>
      </c>
      <c r="L396" s="117">
        <v>7261.1</v>
      </c>
      <c r="M396" s="117">
        <v>7304.11</v>
      </c>
      <c r="N396" s="15"/>
    </row>
    <row r="397" ht="18.75" customHeight="1" spans="1:1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 ht="23.25" customHeight="1" spans="1:14">
      <c r="A398" s="120" t="s">
        <v>35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15"/>
    </row>
    <row r="399" ht="18.75" customHeight="1" spans="1:14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5" t="s">
        <v>52</v>
      </c>
      <c r="N399" s="15"/>
    </row>
    <row r="400" ht="18.75" customHeight="1" spans="1:14">
      <c r="A400" s="15"/>
      <c r="B400" s="94"/>
      <c r="C400" s="94"/>
      <c r="D400" s="94"/>
      <c r="E400" s="94"/>
      <c r="F400" s="94"/>
      <c r="G400" s="94"/>
      <c r="H400" s="94"/>
      <c r="I400" s="94"/>
      <c r="J400" s="94"/>
      <c r="N400" s="15"/>
    </row>
    <row r="401" ht="21" customHeight="1" spans="1:14">
      <c r="A401" s="96" t="s">
        <v>92</v>
      </c>
      <c r="N401" s="15"/>
    </row>
    <row r="402" ht="21" customHeight="1" spans="1:14">
      <c r="A402" s="96" t="s">
        <v>90</v>
      </c>
      <c r="K402" s="15"/>
      <c r="L402" s="15"/>
      <c r="M402" s="15"/>
      <c r="N402" s="15"/>
    </row>
    <row r="403" ht="21" customHeight="1" spans="1:14">
      <c r="A403" s="91" t="s">
        <v>55</v>
      </c>
      <c r="J403" s="91"/>
      <c r="K403" s="91"/>
      <c r="L403" s="91"/>
      <c r="M403" s="91"/>
      <c r="N403" s="15"/>
    </row>
    <row r="404" ht="28.5" customHeight="1" spans="1:14">
      <c r="A404" s="98"/>
      <c r="B404" s="99" t="s">
        <v>56</v>
      </c>
      <c r="C404" s="86" t="s">
        <v>57</v>
      </c>
      <c r="D404" s="86" t="s">
        <v>58</v>
      </c>
      <c r="E404" s="86" t="s">
        <v>59</v>
      </c>
      <c r="F404" s="86" t="s">
        <v>60</v>
      </c>
      <c r="G404" s="86" t="s">
        <v>61</v>
      </c>
      <c r="H404" s="86" t="s">
        <v>62</v>
      </c>
      <c r="I404" s="86" t="s">
        <v>63</v>
      </c>
      <c r="J404" s="86" t="s">
        <v>64</v>
      </c>
      <c r="K404" s="86" t="s">
        <v>65</v>
      </c>
      <c r="L404" s="86" t="s">
        <v>66</v>
      </c>
      <c r="M404" s="86" t="s">
        <v>67</v>
      </c>
      <c r="N404" s="15"/>
    </row>
    <row r="405" ht="18.75" customHeight="1" spans="1:14">
      <c r="A405" s="111" t="s">
        <v>93</v>
      </c>
      <c r="B405" s="117">
        <v>5816.47</v>
      </c>
      <c r="C405" s="117">
        <v>6330.06</v>
      </c>
      <c r="D405" s="118">
        <v>6739.92</v>
      </c>
      <c r="E405" s="117">
        <v>7304.11</v>
      </c>
      <c r="F405" s="117">
        <v>7748.125</v>
      </c>
      <c r="G405" s="118">
        <v>8085.88</v>
      </c>
      <c r="H405" s="117">
        <v>8865.12</v>
      </c>
      <c r="I405" s="117">
        <v>9682.31</v>
      </c>
      <c r="J405" s="118">
        <v>10410.95</v>
      </c>
      <c r="K405" s="117">
        <v>13297.68</v>
      </c>
      <c r="L405" s="80">
        <v>14572.8</v>
      </c>
      <c r="M405" s="80">
        <v>15665.76</v>
      </c>
      <c r="N405" s="15"/>
    </row>
    <row r="406" ht="18.75" customHeight="1" spans="1:14">
      <c r="A406" s="111" t="s">
        <v>18</v>
      </c>
      <c r="B406" s="117">
        <v>5018.255</v>
      </c>
      <c r="C406" s="117">
        <v>5353.48</v>
      </c>
      <c r="D406" s="118">
        <v>5829.12</v>
      </c>
      <c r="E406" s="117">
        <v>6176.995</v>
      </c>
      <c r="F406" s="117">
        <v>6557.76</v>
      </c>
      <c r="G406" s="118">
        <v>6727.27</v>
      </c>
      <c r="H406" s="117">
        <v>7633.01</v>
      </c>
      <c r="I406" s="117">
        <v>8471.705</v>
      </c>
      <c r="J406" s="118">
        <v>8743.68</v>
      </c>
      <c r="K406" s="117">
        <v>11293.92</v>
      </c>
      <c r="L406" s="80">
        <v>12386.88</v>
      </c>
      <c r="M406" s="80">
        <v>13388.76</v>
      </c>
      <c r="N406" s="15"/>
    </row>
    <row r="407" ht="18.75" customHeight="1" spans="1:14">
      <c r="A407" s="111" t="s">
        <v>19</v>
      </c>
      <c r="B407" s="117">
        <v>4096.07</v>
      </c>
      <c r="C407" s="117">
        <v>4379.43</v>
      </c>
      <c r="D407" s="118">
        <v>4736.16</v>
      </c>
      <c r="E407" s="117">
        <v>5047.35</v>
      </c>
      <c r="F407" s="117">
        <v>5358.54</v>
      </c>
      <c r="G407" s="118">
        <v>5917.67</v>
      </c>
      <c r="H407" s="117">
        <v>6214.945</v>
      </c>
      <c r="I407" s="117">
        <v>6896.78</v>
      </c>
      <c r="J407" s="118">
        <v>7286.4</v>
      </c>
      <c r="K407" s="117">
        <v>9345.82</v>
      </c>
      <c r="L407" s="80">
        <v>10312.28</v>
      </c>
      <c r="M407" s="80">
        <v>10954.9</v>
      </c>
      <c r="N407" s="15"/>
    </row>
    <row r="408" ht="18.75" customHeight="1" spans="1:14">
      <c r="A408" s="111" t="s">
        <v>20</v>
      </c>
      <c r="B408" s="117">
        <v>3736.81</v>
      </c>
      <c r="C408" s="117">
        <v>3825.36</v>
      </c>
      <c r="D408" s="118">
        <v>4042.94</v>
      </c>
      <c r="E408" s="117">
        <v>4192.21</v>
      </c>
      <c r="F408" s="117">
        <v>4590.685</v>
      </c>
      <c r="G408" s="118">
        <v>4784.23</v>
      </c>
      <c r="H408" s="117">
        <v>4925.91</v>
      </c>
      <c r="I408" s="117">
        <v>5306.675</v>
      </c>
      <c r="J408" s="118">
        <v>6084.65</v>
      </c>
      <c r="K408" s="117">
        <v>7132.07</v>
      </c>
      <c r="L408" s="80">
        <v>7759.51</v>
      </c>
      <c r="M408" s="80">
        <v>8136.48</v>
      </c>
      <c r="N408" s="15"/>
    </row>
    <row r="409" ht="18.75" customHeight="1" spans="1:14">
      <c r="A409" s="111" t="s">
        <v>21</v>
      </c>
      <c r="B409" s="117">
        <v>2972.75</v>
      </c>
      <c r="C409" s="117">
        <v>3036</v>
      </c>
      <c r="D409" s="118">
        <v>3190.33</v>
      </c>
      <c r="E409" s="117">
        <v>3299.12</v>
      </c>
      <c r="F409" s="117">
        <v>3582.48</v>
      </c>
      <c r="G409" s="118">
        <v>3734.28</v>
      </c>
      <c r="H409" s="117">
        <v>3834.215</v>
      </c>
      <c r="I409" s="117">
        <v>4106.19</v>
      </c>
      <c r="J409" s="118">
        <v>4672.91</v>
      </c>
      <c r="K409" s="117">
        <v>5434.44</v>
      </c>
      <c r="L409" s="80">
        <v>5891.105</v>
      </c>
      <c r="M409" s="80">
        <v>6164.345</v>
      </c>
      <c r="N409" s="15"/>
    </row>
    <row r="410" ht="18.75" customHeight="1" spans="1:14">
      <c r="A410" s="111" t="s">
        <v>22</v>
      </c>
      <c r="B410" s="117">
        <v>2240.315</v>
      </c>
      <c r="C410" s="117">
        <v>2275.735</v>
      </c>
      <c r="D410" s="118">
        <v>2361.755</v>
      </c>
      <c r="E410" s="117">
        <v>2422.475</v>
      </c>
      <c r="F410" s="117">
        <v>2585.66</v>
      </c>
      <c r="G410" s="118">
        <v>2689.39</v>
      </c>
      <c r="H410" s="117">
        <v>2747.58</v>
      </c>
      <c r="I410" s="117">
        <v>2899.38</v>
      </c>
      <c r="J410" s="118">
        <v>3243.46</v>
      </c>
      <c r="K410" s="117">
        <v>3695.065</v>
      </c>
      <c r="L410" s="80">
        <v>3963.245</v>
      </c>
      <c r="M410" s="80">
        <v>4126.43</v>
      </c>
      <c r="N410" s="15"/>
    </row>
    <row r="411" ht="18.75" customHeight="1" spans="1:14">
      <c r="A411" s="111" t="s">
        <v>94</v>
      </c>
      <c r="B411" s="117">
        <v>6733.595</v>
      </c>
      <c r="C411" s="117">
        <v>7185.2</v>
      </c>
      <c r="D411" s="118">
        <v>7899.925</v>
      </c>
      <c r="E411" s="117">
        <v>8422.37</v>
      </c>
      <c r="F411" s="117">
        <v>9101.675</v>
      </c>
      <c r="G411" s="118">
        <v>10012.475</v>
      </c>
      <c r="H411" s="117">
        <v>10922.01</v>
      </c>
      <c r="I411" s="117">
        <v>11269.885</v>
      </c>
      <c r="J411" s="118">
        <v>12394.47</v>
      </c>
      <c r="K411" s="117">
        <v>15622.75</v>
      </c>
      <c r="L411" s="80">
        <v>17561.995</v>
      </c>
      <c r="M411" s="80">
        <v>18853.56</v>
      </c>
      <c r="N411" s="15"/>
    </row>
    <row r="412" ht="18.75" customHeight="1" spans="1:14">
      <c r="A412" s="111" t="s">
        <v>95</v>
      </c>
      <c r="B412" s="117">
        <v>6369.275</v>
      </c>
      <c r="C412" s="117">
        <v>6820.88</v>
      </c>
      <c r="D412" s="118">
        <v>7535.605</v>
      </c>
      <c r="E412" s="117">
        <v>8058.05</v>
      </c>
      <c r="F412" s="117">
        <v>8737.355</v>
      </c>
      <c r="G412" s="118">
        <v>9648.155</v>
      </c>
      <c r="H412" s="117">
        <v>10557.69</v>
      </c>
      <c r="I412" s="117">
        <v>10905.565</v>
      </c>
      <c r="J412" s="118">
        <v>12030.15</v>
      </c>
      <c r="K412" s="117">
        <v>15258.43</v>
      </c>
      <c r="L412" s="80">
        <v>17197.675</v>
      </c>
      <c r="M412" s="80">
        <v>18489.24</v>
      </c>
      <c r="N412" s="15"/>
    </row>
    <row r="413" ht="18.75" customHeight="1" spans="1:14">
      <c r="A413" s="111" t="s">
        <v>44</v>
      </c>
      <c r="B413" s="117">
        <v>7977.09</v>
      </c>
      <c r="C413" s="117">
        <v>8736.09</v>
      </c>
      <c r="D413" s="118">
        <v>9411.6</v>
      </c>
      <c r="E413" s="117">
        <v>10141.505</v>
      </c>
      <c r="F413" s="117">
        <v>10548.835</v>
      </c>
      <c r="G413" s="118">
        <v>11347.05</v>
      </c>
      <c r="H413" s="117">
        <v>11855.58</v>
      </c>
      <c r="I413" s="117">
        <v>12961.19</v>
      </c>
      <c r="J413" s="118">
        <v>14377.99</v>
      </c>
      <c r="K413" s="117">
        <v>17806.14</v>
      </c>
      <c r="L413" s="80">
        <v>19863.03</v>
      </c>
      <c r="M413" s="80">
        <v>21234.29</v>
      </c>
      <c r="N413" s="15"/>
    </row>
    <row r="414" ht="18.75" customHeight="1" spans="1:14">
      <c r="A414" s="111" t="s">
        <v>45</v>
      </c>
      <c r="B414" s="117">
        <v>10526.065</v>
      </c>
      <c r="C414" s="117">
        <v>11056.1</v>
      </c>
      <c r="D414" s="118">
        <v>11476.08</v>
      </c>
      <c r="E414" s="117">
        <v>12142.735</v>
      </c>
      <c r="F414" s="117">
        <v>12834.69</v>
      </c>
      <c r="G414" s="118">
        <v>13896.025</v>
      </c>
      <c r="H414" s="117">
        <v>14787.85</v>
      </c>
      <c r="I414" s="117">
        <v>16765.045</v>
      </c>
      <c r="J414" s="118">
        <v>19789.66</v>
      </c>
      <c r="K414" s="117">
        <v>23961.63</v>
      </c>
      <c r="L414" s="80">
        <v>26465.065</v>
      </c>
      <c r="M414" s="80">
        <v>27966.62</v>
      </c>
      <c r="N414" s="15"/>
    </row>
    <row r="415" ht="18.75" customHeight="1" spans="1:14">
      <c r="A415" s="115" t="s">
        <v>70</v>
      </c>
      <c r="B415" s="117">
        <v>18792.84</v>
      </c>
      <c r="C415" s="117">
        <v>19432.93</v>
      </c>
      <c r="D415" s="118">
        <v>19966.76</v>
      </c>
      <c r="E415" s="117">
        <v>20568.9</v>
      </c>
      <c r="F415" s="117">
        <v>21245.675</v>
      </c>
      <c r="G415" s="118">
        <v>22742.17</v>
      </c>
      <c r="H415" s="117">
        <v>23559.36</v>
      </c>
      <c r="I415" s="117">
        <v>25322.77</v>
      </c>
      <c r="J415" s="118">
        <v>28309.435</v>
      </c>
      <c r="K415" s="117">
        <v>33499.73</v>
      </c>
      <c r="L415" s="80">
        <v>36612.895</v>
      </c>
      <c r="M415" s="80">
        <v>38481.3</v>
      </c>
      <c r="N415" s="15"/>
    </row>
    <row r="416" ht="18.75" customHeight="1" spans="1:14">
      <c r="A416" s="111" t="s">
        <v>32</v>
      </c>
      <c r="B416" s="117">
        <v>2179.595</v>
      </c>
      <c r="C416" s="117">
        <v>2222.605</v>
      </c>
      <c r="D416" s="118">
        <v>2368.08</v>
      </c>
      <c r="E416" s="117">
        <v>2604.635</v>
      </c>
      <c r="F416" s="117">
        <v>2785.53</v>
      </c>
      <c r="G416" s="118">
        <v>2943.655</v>
      </c>
      <c r="H416" s="117">
        <v>3180.21</v>
      </c>
      <c r="I416" s="117">
        <v>3278.88</v>
      </c>
      <c r="J416" s="118">
        <v>3643.2</v>
      </c>
      <c r="K416" s="117">
        <v>4142.875</v>
      </c>
      <c r="L416" s="80">
        <v>4441.415</v>
      </c>
      <c r="M416" s="80">
        <v>4621.045</v>
      </c>
      <c r="N416" s="15"/>
    </row>
    <row r="417" ht="18.75" customHeight="1" spans="1:14">
      <c r="A417" s="89" t="s">
        <v>81</v>
      </c>
      <c r="B417" s="117">
        <v>6101.095</v>
      </c>
      <c r="C417" s="117">
        <v>6359.155</v>
      </c>
      <c r="D417" s="118">
        <v>6446.44</v>
      </c>
      <c r="E417" s="117">
        <v>6732.33</v>
      </c>
      <c r="F417" s="117">
        <v>7038.46</v>
      </c>
      <c r="G417" s="118">
        <v>7777.22</v>
      </c>
      <c r="H417" s="117">
        <v>7921.43</v>
      </c>
      <c r="I417" s="117">
        <v>9124.445</v>
      </c>
      <c r="J417" s="118">
        <v>10209.815</v>
      </c>
      <c r="K417" s="117">
        <v>12552.595</v>
      </c>
      <c r="L417" s="80">
        <v>13958.01</v>
      </c>
      <c r="M417" s="80">
        <v>14801.765</v>
      </c>
      <c r="N417" s="15"/>
    </row>
    <row r="418" ht="18.75" customHeight="1" spans="1:14">
      <c r="A418" s="89" t="s">
        <v>96</v>
      </c>
      <c r="B418" s="117">
        <v>7922.695</v>
      </c>
      <c r="C418" s="117">
        <v>8180.755</v>
      </c>
      <c r="D418" s="118">
        <v>8268.04</v>
      </c>
      <c r="E418" s="117">
        <v>8553.93</v>
      </c>
      <c r="F418" s="117">
        <v>8860.06</v>
      </c>
      <c r="G418" s="118">
        <v>9598.82</v>
      </c>
      <c r="H418" s="117">
        <v>10122.53</v>
      </c>
      <c r="I418" s="117">
        <v>10946.045</v>
      </c>
      <c r="J418" s="118">
        <v>12031.415</v>
      </c>
      <c r="K418" s="117">
        <v>14374.195</v>
      </c>
      <c r="L418" s="80">
        <v>15779.61</v>
      </c>
      <c r="M418" s="80">
        <v>16623.365</v>
      </c>
      <c r="N418" s="15"/>
    </row>
    <row r="419" ht="18.75" customHeight="1" spans="1:14">
      <c r="A419" s="89" t="s">
        <v>39</v>
      </c>
      <c r="B419" s="117">
        <v>5464.8</v>
      </c>
      <c r="C419" s="117">
        <v>6176.995</v>
      </c>
      <c r="D419" s="118">
        <v>6264.28</v>
      </c>
      <c r="E419" s="117">
        <v>6550.17</v>
      </c>
      <c r="F419" s="117">
        <v>6856.3</v>
      </c>
      <c r="G419" s="118">
        <v>7412.9</v>
      </c>
      <c r="H419" s="117">
        <v>7754.45</v>
      </c>
      <c r="I419" s="117">
        <v>8395.805</v>
      </c>
      <c r="J419" s="118">
        <v>9292.69</v>
      </c>
      <c r="K419" s="117">
        <v>11459.635</v>
      </c>
      <c r="L419" s="80">
        <v>12758.79</v>
      </c>
      <c r="M419" s="80">
        <v>13539.295</v>
      </c>
      <c r="N419" s="15"/>
    </row>
    <row r="420" ht="18.75" customHeight="1" spans="1:1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 ht="23.25" customHeight="1" spans="1:14">
      <c r="A421" s="120" t="s">
        <v>35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15"/>
    </row>
    <row r="422" ht="18.75" customHeight="1" spans="1:14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5" t="s">
        <v>52</v>
      </c>
      <c r="N422" s="15"/>
    </row>
    <row r="423" ht="18.75" customHeight="1" spans="1:14">
      <c r="A423" s="15"/>
      <c r="B423" s="94"/>
      <c r="C423" s="94"/>
      <c r="D423" s="94"/>
      <c r="E423" s="94"/>
      <c r="F423" s="94"/>
      <c r="G423" s="94"/>
      <c r="H423" s="94"/>
      <c r="I423" s="94"/>
      <c r="J423" s="94"/>
      <c r="N423" s="15"/>
    </row>
    <row r="424" ht="21" customHeight="1" spans="1:14">
      <c r="A424" s="96" t="s">
        <v>97</v>
      </c>
      <c r="N424" s="15"/>
    </row>
    <row r="425" ht="21" customHeight="1" spans="1:14">
      <c r="A425" s="96" t="s">
        <v>87</v>
      </c>
      <c r="J425" s="15"/>
      <c r="K425" s="15"/>
      <c r="L425" s="15"/>
      <c r="M425" s="15"/>
      <c r="N425" s="15"/>
    </row>
    <row r="426" ht="21" customHeight="1" spans="1:14">
      <c r="A426" s="91" t="s">
        <v>55</v>
      </c>
      <c r="J426" s="91"/>
      <c r="K426" s="91"/>
      <c r="L426" s="91"/>
      <c r="M426" s="91"/>
      <c r="N426" s="15"/>
    </row>
    <row r="427" ht="28.5" customHeight="1" spans="1:14">
      <c r="A427" s="98"/>
      <c r="B427" s="99" t="s">
        <v>56</v>
      </c>
      <c r="C427" s="86" t="s">
        <v>57</v>
      </c>
      <c r="D427" s="86" t="s">
        <v>58</v>
      </c>
      <c r="E427" s="86" t="s">
        <v>59</v>
      </c>
      <c r="F427" s="86" t="s">
        <v>60</v>
      </c>
      <c r="G427" s="86" t="s">
        <v>61</v>
      </c>
      <c r="H427" s="86" t="s">
        <v>62</v>
      </c>
      <c r="I427" s="86" t="s">
        <v>63</v>
      </c>
      <c r="J427" s="86" t="s">
        <v>64</v>
      </c>
      <c r="K427" s="86" t="s">
        <v>65</v>
      </c>
      <c r="L427" s="86" t="s">
        <v>66</v>
      </c>
      <c r="M427" s="86" t="s">
        <v>67</v>
      </c>
      <c r="N427" s="15"/>
    </row>
    <row r="428" ht="18.75" customHeight="1" spans="1:14">
      <c r="A428" s="111" t="s">
        <v>68</v>
      </c>
      <c r="B428" s="80">
        <v>3460.6</v>
      </c>
      <c r="C428" s="80">
        <v>3696.55</v>
      </c>
      <c r="D428" s="114">
        <v>3995.42</v>
      </c>
      <c r="E428" s="80">
        <v>4156.35</v>
      </c>
      <c r="F428" s="80">
        <v>4561.7</v>
      </c>
      <c r="G428" s="114">
        <v>4882.35</v>
      </c>
      <c r="H428" s="80">
        <v>5190.9</v>
      </c>
      <c r="I428" s="80">
        <v>5585.36</v>
      </c>
      <c r="J428" s="114">
        <v>6313.78</v>
      </c>
      <c r="K428" s="80">
        <v>7412.46</v>
      </c>
      <c r="L428" s="80">
        <v>8070.7</v>
      </c>
      <c r="M428" s="80">
        <v>8509.93</v>
      </c>
      <c r="N428" s="15"/>
    </row>
    <row r="429" ht="18.75" customHeight="1" spans="1:14">
      <c r="A429" s="89" t="s">
        <v>18</v>
      </c>
      <c r="B429" s="80">
        <v>2952.4</v>
      </c>
      <c r="C429" s="80">
        <v>3146</v>
      </c>
      <c r="D429" s="114">
        <v>3375.9</v>
      </c>
      <c r="E429" s="80">
        <v>3652.99</v>
      </c>
      <c r="F429" s="80">
        <v>3902.25</v>
      </c>
      <c r="G429" s="114">
        <v>4100.69</v>
      </c>
      <c r="H429" s="80">
        <v>4210.8</v>
      </c>
      <c r="I429" s="80">
        <v>4497.57</v>
      </c>
      <c r="J429" s="114">
        <v>5052.96</v>
      </c>
      <c r="K429" s="80">
        <v>5884.23</v>
      </c>
      <c r="L429" s="80">
        <v>6382.75</v>
      </c>
      <c r="M429" s="80">
        <v>6716.71</v>
      </c>
      <c r="N429" s="15"/>
    </row>
    <row r="430" ht="18.75" customHeight="1" spans="1:14">
      <c r="A430" s="89" t="s">
        <v>19</v>
      </c>
      <c r="B430" s="80">
        <v>2421.21</v>
      </c>
      <c r="C430" s="80">
        <v>2584.56</v>
      </c>
      <c r="D430" s="114">
        <v>2753.96</v>
      </c>
      <c r="E430" s="80">
        <v>2992.33</v>
      </c>
      <c r="F430" s="80">
        <v>3158.1</v>
      </c>
      <c r="G430" s="114">
        <v>3459.39</v>
      </c>
      <c r="H430" s="80">
        <v>3533.2</v>
      </c>
      <c r="I430" s="80">
        <v>3723.17</v>
      </c>
      <c r="J430" s="114">
        <v>4105.53</v>
      </c>
      <c r="K430" s="80">
        <v>4670.6</v>
      </c>
      <c r="L430" s="80">
        <v>5008.19</v>
      </c>
      <c r="M430" s="80">
        <v>5234.46</v>
      </c>
      <c r="N430" s="15"/>
    </row>
    <row r="431" ht="18.75" customHeight="1" spans="1:14">
      <c r="A431" s="89" t="s">
        <v>20</v>
      </c>
      <c r="B431" s="80">
        <v>2007.39</v>
      </c>
      <c r="C431" s="80">
        <v>2214.3</v>
      </c>
      <c r="D431" s="114">
        <v>2336.51</v>
      </c>
      <c r="E431" s="80">
        <v>2415.16</v>
      </c>
      <c r="F431" s="80">
        <v>2637.8</v>
      </c>
      <c r="G431" s="114">
        <v>2764.85</v>
      </c>
      <c r="H431" s="80">
        <v>2821.72</v>
      </c>
      <c r="I431" s="80">
        <v>3031.05</v>
      </c>
      <c r="J431" s="114">
        <v>3312.98</v>
      </c>
      <c r="K431" s="80">
        <v>4057.13</v>
      </c>
      <c r="L431" s="80">
        <v>4409.24</v>
      </c>
      <c r="M431" s="80">
        <v>4619.78</v>
      </c>
      <c r="N431" s="15"/>
    </row>
    <row r="432" ht="18.75" customHeight="1" spans="1:14">
      <c r="A432" s="89" t="s">
        <v>21</v>
      </c>
      <c r="B432" s="80">
        <v>1614.14</v>
      </c>
      <c r="C432" s="80">
        <v>1794.43</v>
      </c>
      <c r="D432" s="114">
        <v>1876.71</v>
      </c>
      <c r="E432" s="80">
        <v>1931.16</v>
      </c>
      <c r="F432" s="80">
        <v>2088.46</v>
      </c>
      <c r="G432" s="114">
        <v>2347.4</v>
      </c>
      <c r="H432" s="80">
        <v>2384.91</v>
      </c>
      <c r="I432" s="80">
        <v>2527.69</v>
      </c>
      <c r="J432" s="114">
        <v>2842.29</v>
      </c>
      <c r="K432" s="80">
        <v>3270.63</v>
      </c>
      <c r="L432" s="80">
        <v>3527.15</v>
      </c>
      <c r="M432" s="80">
        <v>3680.82</v>
      </c>
      <c r="N432" s="15"/>
    </row>
    <row r="433" ht="18.75" customHeight="1" spans="1:14">
      <c r="A433" s="89" t="s">
        <v>22</v>
      </c>
      <c r="B433" s="80">
        <v>1352.78</v>
      </c>
      <c r="C433" s="80">
        <v>1524.6</v>
      </c>
      <c r="D433" s="114">
        <v>1573</v>
      </c>
      <c r="E433" s="80">
        <v>1608.09</v>
      </c>
      <c r="F433" s="80">
        <v>1702.47</v>
      </c>
      <c r="G433" s="114">
        <v>1773.86</v>
      </c>
      <c r="H433" s="80">
        <v>1798.06</v>
      </c>
      <c r="I433" s="80">
        <v>1883.97</v>
      </c>
      <c r="J433" s="114">
        <v>2086.04</v>
      </c>
      <c r="K433" s="80">
        <v>2347.4</v>
      </c>
      <c r="L433" s="80">
        <v>2504.7</v>
      </c>
      <c r="M433" s="80">
        <v>2596.66</v>
      </c>
      <c r="N433" s="15"/>
    </row>
    <row r="434" ht="18.75" customHeight="1" spans="1:14">
      <c r="A434" s="89" t="s">
        <v>23</v>
      </c>
      <c r="B434" s="80">
        <v>3979.69</v>
      </c>
      <c r="C434" s="80">
        <v>4210.8</v>
      </c>
      <c r="D434" s="114">
        <v>4444.33</v>
      </c>
      <c r="E434" s="80">
        <v>4692.38</v>
      </c>
      <c r="F434" s="80">
        <v>4771.03</v>
      </c>
      <c r="G434" s="114">
        <v>5006.98</v>
      </c>
      <c r="H434" s="80">
        <v>5426.85</v>
      </c>
      <c r="I434" s="80">
        <v>6056.05</v>
      </c>
      <c r="J434" s="114">
        <v>7134.16</v>
      </c>
      <c r="K434" s="80">
        <v>8741.04</v>
      </c>
      <c r="L434" s="80">
        <v>9705.41</v>
      </c>
      <c r="M434" s="80">
        <v>10349.13</v>
      </c>
      <c r="N434" s="15"/>
    </row>
    <row r="435" ht="18.75" customHeight="1" spans="1:14">
      <c r="A435" s="89" t="s">
        <v>24</v>
      </c>
      <c r="B435" s="80">
        <v>3665.09</v>
      </c>
      <c r="C435" s="80">
        <v>3896.2</v>
      </c>
      <c r="D435" s="114">
        <v>4129.73</v>
      </c>
      <c r="E435" s="80">
        <v>4377.78</v>
      </c>
      <c r="F435" s="80">
        <v>4456.43</v>
      </c>
      <c r="G435" s="114">
        <v>4692.38</v>
      </c>
      <c r="H435" s="80">
        <v>5112.25</v>
      </c>
      <c r="I435" s="80">
        <v>5741.45</v>
      </c>
      <c r="J435" s="114">
        <v>6819.56</v>
      </c>
      <c r="K435" s="80">
        <v>8426.44</v>
      </c>
      <c r="L435" s="80">
        <v>9390.81</v>
      </c>
      <c r="M435" s="80">
        <v>10034.53</v>
      </c>
      <c r="N435" s="15"/>
    </row>
    <row r="436" ht="18.75" customHeight="1" spans="1:14">
      <c r="A436" s="89" t="s">
        <v>69</v>
      </c>
      <c r="B436" s="80">
        <v>5679.74</v>
      </c>
      <c r="C436" s="80">
        <v>5903.59</v>
      </c>
      <c r="D436" s="114">
        <v>6239.97</v>
      </c>
      <c r="E436" s="80">
        <v>6863.12</v>
      </c>
      <c r="F436" s="80">
        <v>7152.31</v>
      </c>
      <c r="G436" s="114">
        <v>7645.99</v>
      </c>
      <c r="H436" s="80">
        <v>8091.27</v>
      </c>
      <c r="I436" s="80">
        <v>9030.23</v>
      </c>
      <c r="J436" s="114">
        <v>9650.96</v>
      </c>
      <c r="K436" s="80">
        <v>11916.08</v>
      </c>
      <c r="L436" s="80">
        <v>13274.91</v>
      </c>
      <c r="M436" s="80">
        <v>14181.2</v>
      </c>
      <c r="N436" s="15"/>
    </row>
    <row r="437" ht="18.75" customHeight="1" spans="1:14">
      <c r="A437" s="89" t="s">
        <v>27</v>
      </c>
      <c r="B437" s="80">
        <v>7360.43</v>
      </c>
      <c r="C437" s="80">
        <v>7562.5</v>
      </c>
      <c r="D437" s="114">
        <v>7886.78</v>
      </c>
      <c r="E437" s="80">
        <v>8604.31</v>
      </c>
      <c r="F437" s="80">
        <v>8876.56</v>
      </c>
      <c r="G437" s="114">
        <v>9848.19</v>
      </c>
      <c r="H437" s="80">
        <v>10657.68</v>
      </c>
      <c r="I437" s="80">
        <v>11593.01</v>
      </c>
      <c r="J437" s="114">
        <v>13533.85</v>
      </c>
      <c r="K437" s="80">
        <v>15854.63</v>
      </c>
      <c r="L437" s="80">
        <v>17246.13</v>
      </c>
      <c r="M437" s="80">
        <v>18082.24</v>
      </c>
      <c r="N437" s="15"/>
    </row>
    <row r="438" ht="18.75" customHeight="1" spans="1:14">
      <c r="A438" s="116" t="s">
        <v>70</v>
      </c>
      <c r="B438" s="80">
        <v>13668.16</v>
      </c>
      <c r="C438" s="80">
        <v>14094.08</v>
      </c>
      <c r="D438" s="114">
        <v>14452.24</v>
      </c>
      <c r="E438" s="80">
        <v>14853.96</v>
      </c>
      <c r="F438" s="80">
        <v>15305.29</v>
      </c>
      <c r="G438" s="114">
        <v>16332.58</v>
      </c>
      <c r="H438" s="80">
        <v>16877.08</v>
      </c>
      <c r="I438" s="80">
        <v>18050.78</v>
      </c>
      <c r="J438" s="114">
        <v>20243.3</v>
      </c>
      <c r="K438" s="80">
        <v>23870.88</v>
      </c>
      <c r="L438" s="80">
        <v>26047.67</v>
      </c>
      <c r="M438" s="80">
        <v>16044.6</v>
      </c>
      <c r="N438" s="15"/>
    </row>
    <row r="439" ht="18.75" customHeight="1" spans="1:14">
      <c r="A439" s="111" t="s">
        <v>32</v>
      </c>
      <c r="B439" s="80">
        <v>1552.43</v>
      </c>
      <c r="C439" s="80">
        <v>1585.1</v>
      </c>
      <c r="D439" s="114">
        <v>1698.84</v>
      </c>
      <c r="E439" s="80">
        <v>1882.76</v>
      </c>
      <c r="F439" s="80">
        <v>2023.12</v>
      </c>
      <c r="G439" s="114">
        <v>2145.33</v>
      </c>
      <c r="H439" s="80">
        <v>2329.25</v>
      </c>
      <c r="I439" s="80">
        <v>2406.69</v>
      </c>
      <c r="J439" s="114">
        <v>2689.83</v>
      </c>
      <c r="K439" s="80">
        <v>3078.24</v>
      </c>
      <c r="L439" s="80">
        <v>3311.77</v>
      </c>
      <c r="M439" s="80">
        <v>3449.71</v>
      </c>
      <c r="N439" s="15"/>
    </row>
    <row r="440" ht="18.75" customHeight="1" spans="1:14">
      <c r="A440" s="111" t="s">
        <v>72</v>
      </c>
      <c r="B440" s="80">
        <v>4628.25</v>
      </c>
      <c r="C440" s="80">
        <v>4767.4</v>
      </c>
      <c r="D440" s="114">
        <v>4825.48</v>
      </c>
      <c r="E440" s="80">
        <v>5011.82</v>
      </c>
      <c r="F440" s="80">
        <v>5176.38</v>
      </c>
      <c r="G440" s="114">
        <v>5573.26</v>
      </c>
      <c r="H440" s="80">
        <v>5757.18</v>
      </c>
      <c r="I440" s="80">
        <v>6160.11</v>
      </c>
      <c r="J440" s="114">
        <v>6915.15</v>
      </c>
      <c r="K440" s="80">
        <v>8341.74</v>
      </c>
      <c r="L440" s="80">
        <v>9197.21</v>
      </c>
      <c r="M440" s="80">
        <v>9711.46</v>
      </c>
      <c r="N440" s="15"/>
    </row>
    <row r="441" ht="18.75" customHeight="1" spans="1:14">
      <c r="A441" s="111" t="s">
        <v>73</v>
      </c>
      <c r="B441" s="80">
        <v>1746.03</v>
      </c>
      <c r="C441" s="80">
        <v>1802.9</v>
      </c>
      <c r="D441" s="114">
        <v>1909.38</v>
      </c>
      <c r="E441" s="80">
        <v>2113.87</v>
      </c>
      <c r="F441" s="80">
        <v>2198.57</v>
      </c>
      <c r="G441" s="114">
        <v>2449.04</v>
      </c>
      <c r="H441" s="80">
        <v>2674.1</v>
      </c>
      <c r="I441" s="80">
        <v>3061.3</v>
      </c>
      <c r="J441" s="114">
        <v>3312.98</v>
      </c>
      <c r="K441" s="80">
        <v>3921.61</v>
      </c>
      <c r="L441" s="80">
        <v>4287.03</v>
      </c>
      <c r="M441" s="80">
        <v>4507.25</v>
      </c>
      <c r="N441" s="15"/>
    </row>
    <row r="442" ht="18.75" customHeight="1" spans="1:14">
      <c r="A442" s="111" t="s">
        <v>74</v>
      </c>
      <c r="B442" s="80">
        <v>2300.21</v>
      </c>
      <c r="C442" s="80">
        <v>2380.07</v>
      </c>
      <c r="D442" s="114">
        <v>2658.37</v>
      </c>
      <c r="E442" s="80">
        <v>2724.92</v>
      </c>
      <c r="F442" s="80">
        <v>2910.05</v>
      </c>
      <c r="G442" s="114">
        <v>3355.33</v>
      </c>
      <c r="H442" s="80">
        <v>3522.31</v>
      </c>
      <c r="I442" s="80">
        <v>3868.37</v>
      </c>
      <c r="J442" s="114">
        <v>4146.67</v>
      </c>
      <c r="K442" s="80">
        <v>5048.12</v>
      </c>
      <c r="L442" s="80">
        <v>5588.99</v>
      </c>
      <c r="M442" s="80">
        <v>5913.27</v>
      </c>
      <c r="N442" s="15"/>
    </row>
    <row r="443" ht="18.75" customHeight="1" spans="1:1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 ht="23.25" customHeight="1" spans="1:14">
      <c r="A444" s="120" t="s">
        <v>35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15"/>
    </row>
    <row r="445" ht="18.75" customHeight="1" spans="1:14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5" t="s">
        <v>52</v>
      </c>
      <c r="N445" s="15"/>
    </row>
    <row r="446" ht="18.75" customHeight="1" spans="1:14">
      <c r="A446" s="15"/>
      <c r="B446" s="94"/>
      <c r="C446" s="94"/>
      <c r="D446" s="94"/>
      <c r="E446" s="94"/>
      <c r="F446" s="94"/>
      <c r="G446" s="94"/>
      <c r="H446" s="94"/>
      <c r="I446" s="94"/>
      <c r="J446" s="94"/>
      <c r="N446" s="15"/>
    </row>
    <row r="447" ht="21" customHeight="1" spans="1:14">
      <c r="A447" s="96" t="s">
        <v>98</v>
      </c>
      <c r="N447" s="15"/>
    </row>
    <row r="448" ht="21" customHeight="1" spans="1:14">
      <c r="A448" s="96" t="s">
        <v>87</v>
      </c>
      <c r="J448" s="15"/>
      <c r="K448" s="15"/>
      <c r="L448" s="15"/>
      <c r="M448" s="15"/>
      <c r="N448" s="15"/>
    </row>
    <row r="449" ht="21" customHeight="1" spans="1:14">
      <c r="A449" s="91" t="s">
        <v>55</v>
      </c>
      <c r="J449" s="91"/>
      <c r="K449" s="91"/>
      <c r="L449" s="91"/>
      <c r="M449" s="91"/>
      <c r="N449" s="15"/>
    </row>
    <row r="450" ht="28.5" customHeight="1" spans="1:14">
      <c r="A450" s="98"/>
      <c r="B450" s="99" t="s">
        <v>56</v>
      </c>
      <c r="C450" s="86" t="s">
        <v>57</v>
      </c>
      <c r="D450" s="86" t="s">
        <v>58</v>
      </c>
      <c r="E450" s="86" t="s">
        <v>59</v>
      </c>
      <c r="F450" s="86" t="s">
        <v>60</v>
      </c>
      <c r="G450" s="86" t="s">
        <v>61</v>
      </c>
      <c r="H450" s="86" t="s">
        <v>62</v>
      </c>
      <c r="I450" s="86" t="s">
        <v>63</v>
      </c>
      <c r="J450" s="86" t="s">
        <v>64</v>
      </c>
      <c r="K450" s="86" t="s">
        <v>65</v>
      </c>
      <c r="L450" s="86" t="s">
        <v>66</v>
      </c>
      <c r="M450" s="86" t="s">
        <v>67</v>
      </c>
      <c r="N450" s="15"/>
    </row>
    <row r="451" ht="18.75" customHeight="1" spans="1:14">
      <c r="A451" s="111" t="s">
        <v>68</v>
      </c>
      <c r="B451" s="112">
        <v>4168.45</v>
      </c>
      <c r="C451" s="112">
        <v>4372.94</v>
      </c>
      <c r="D451" s="113">
        <v>4746.83</v>
      </c>
      <c r="E451" s="112">
        <v>5302.22</v>
      </c>
      <c r="F451" s="112">
        <v>5505.5</v>
      </c>
      <c r="G451" s="113">
        <v>5650.7</v>
      </c>
      <c r="H451" s="112">
        <v>6848.6</v>
      </c>
      <c r="I451" s="112">
        <v>7192.24</v>
      </c>
      <c r="J451" s="113">
        <v>7544.35</v>
      </c>
      <c r="K451" s="112">
        <v>9595.3</v>
      </c>
      <c r="L451" s="80">
        <v>10825.87</v>
      </c>
      <c r="M451" s="80">
        <v>11646.25</v>
      </c>
      <c r="N451" s="15"/>
    </row>
    <row r="452" ht="18.75" customHeight="1" spans="1:14">
      <c r="A452" s="89" t="s">
        <v>18</v>
      </c>
      <c r="B452" s="112">
        <v>3460.6</v>
      </c>
      <c r="C452" s="112">
        <v>3685.66</v>
      </c>
      <c r="D452" s="113">
        <v>4038.98</v>
      </c>
      <c r="E452" s="112">
        <v>4561.7</v>
      </c>
      <c r="F452" s="112">
        <v>4719</v>
      </c>
      <c r="G452" s="113">
        <v>4860.57</v>
      </c>
      <c r="H452" s="112">
        <v>5826.15</v>
      </c>
      <c r="I452" s="112">
        <v>6134.7</v>
      </c>
      <c r="J452" s="113">
        <v>6364.6</v>
      </c>
      <c r="K452" s="112">
        <v>8179.6</v>
      </c>
      <c r="L452" s="80">
        <v>9268.6</v>
      </c>
      <c r="M452" s="80">
        <v>9994.6</v>
      </c>
      <c r="N452" s="15"/>
    </row>
    <row r="453" ht="18.75" customHeight="1" spans="1:14">
      <c r="A453" s="89" t="s">
        <v>19</v>
      </c>
      <c r="B453" s="112">
        <v>2872.54</v>
      </c>
      <c r="C453" s="112">
        <v>2988.7</v>
      </c>
      <c r="D453" s="113">
        <v>3303.3</v>
      </c>
      <c r="E453" s="112">
        <v>3675.98</v>
      </c>
      <c r="F453" s="112">
        <v>3853.85</v>
      </c>
      <c r="G453" s="113">
        <v>3932.5</v>
      </c>
      <c r="H453" s="112">
        <v>4803.7</v>
      </c>
      <c r="I453" s="112">
        <v>5061.43</v>
      </c>
      <c r="J453" s="113">
        <v>5257.45</v>
      </c>
      <c r="K453" s="112">
        <v>6870.38</v>
      </c>
      <c r="L453" s="80">
        <v>7839.59</v>
      </c>
      <c r="M453" s="80">
        <v>8484.52</v>
      </c>
      <c r="N453" s="15"/>
    </row>
    <row r="454" ht="18.75" customHeight="1" spans="1:14">
      <c r="A454" s="89" t="s">
        <v>20</v>
      </c>
      <c r="B454" s="112">
        <v>2315.94</v>
      </c>
      <c r="C454" s="112">
        <v>2363.13</v>
      </c>
      <c r="D454" s="113">
        <v>2614.81</v>
      </c>
      <c r="E454" s="112">
        <v>3086.71</v>
      </c>
      <c r="F454" s="112">
        <v>3198.03</v>
      </c>
      <c r="G454" s="113">
        <v>3303.3</v>
      </c>
      <c r="H454" s="112">
        <v>3759.47</v>
      </c>
      <c r="I454" s="112">
        <v>4051.08</v>
      </c>
      <c r="J454" s="113">
        <v>4636.72</v>
      </c>
      <c r="K454" s="112">
        <v>5447.42</v>
      </c>
      <c r="L454" s="80">
        <v>5933.84</v>
      </c>
      <c r="M454" s="80">
        <v>6224.24</v>
      </c>
      <c r="N454" s="15"/>
    </row>
    <row r="455" ht="18.75" customHeight="1" spans="1:14">
      <c r="A455" s="89" t="s">
        <v>21</v>
      </c>
      <c r="B455" s="112">
        <v>1887.6</v>
      </c>
      <c r="C455" s="112">
        <v>2048.53</v>
      </c>
      <c r="D455" s="113">
        <v>2202.2</v>
      </c>
      <c r="E455" s="112">
        <v>2395.8</v>
      </c>
      <c r="F455" s="112">
        <v>2616.02</v>
      </c>
      <c r="G455" s="113">
        <v>2877.38</v>
      </c>
      <c r="H455" s="112">
        <v>2957.24</v>
      </c>
      <c r="I455" s="112">
        <v>3165.36</v>
      </c>
      <c r="J455" s="113">
        <v>3594.91</v>
      </c>
      <c r="K455" s="112">
        <v>4182.97</v>
      </c>
      <c r="L455" s="80">
        <v>4535.08</v>
      </c>
      <c r="M455" s="80">
        <v>4746.83</v>
      </c>
      <c r="N455" s="15"/>
    </row>
    <row r="456" ht="18.75" customHeight="1" spans="1:14">
      <c r="A456" s="89" t="s">
        <v>22</v>
      </c>
      <c r="B456" s="80">
        <v>1629.87</v>
      </c>
      <c r="C456" s="80">
        <v>1694</v>
      </c>
      <c r="D456" s="114">
        <v>1882.76</v>
      </c>
      <c r="E456" s="80">
        <v>1928.74</v>
      </c>
      <c r="F456" s="80">
        <v>2060.63</v>
      </c>
      <c r="G456" s="114">
        <v>2139.28</v>
      </c>
      <c r="H456" s="80">
        <v>2181.63</v>
      </c>
      <c r="I456" s="80">
        <v>2300.21</v>
      </c>
      <c r="J456" s="114">
        <v>2562.78</v>
      </c>
      <c r="K456" s="80">
        <v>2919.73</v>
      </c>
      <c r="L456" s="80">
        <v>3133.9</v>
      </c>
      <c r="M456" s="80">
        <v>3262.16</v>
      </c>
      <c r="N456" s="15"/>
    </row>
    <row r="457" ht="18.75" customHeight="1" spans="1:14">
      <c r="A457" s="89" t="s">
        <v>23</v>
      </c>
      <c r="B457" s="80">
        <v>4418.92</v>
      </c>
      <c r="C457" s="80">
        <v>4832.74</v>
      </c>
      <c r="D457" s="114">
        <v>5403.86</v>
      </c>
      <c r="E457" s="80">
        <v>5841.88</v>
      </c>
      <c r="F457" s="80">
        <v>6423.89</v>
      </c>
      <c r="G457" s="114">
        <v>7189.82</v>
      </c>
      <c r="H457" s="80">
        <v>7963.01</v>
      </c>
      <c r="I457" s="80">
        <v>8242.52</v>
      </c>
      <c r="J457" s="114">
        <v>9274.65</v>
      </c>
      <c r="K457" s="80">
        <v>12003.2</v>
      </c>
      <c r="L457" s="80">
        <v>13641.54</v>
      </c>
      <c r="M457" s="80">
        <v>14732.96</v>
      </c>
      <c r="N457" s="15"/>
    </row>
    <row r="458" ht="18.75" customHeight="1" spans="1:14">
      <c r="A458" s="89" t="s">
        <v>24</v>
      </c>
      <c r="B458" s="80">
        <v>4104.32</v>
      </c>
      <c r="C458" s="80">
        <v>4518.14</v>
      </c>
      <c r="D458" s="114">
        <v>5089.26</v>
      </c>
      <c r="E458" s="80">
        <v>5527.28</v>
      </c>
      <c r="F458" s="80">
        <v>6109.29</v>
      </c>
      <c r="G458" s="114">
        <v>6875.22</v>
      </c>
      <c r="H458" s="80">
        <v>7648.41</v>
      </c>
      <c r="I458" s="80">
        <v>7927.92</v>
      </c>
      <c r="J458" s="114">
        <v>8960.05</v>
      </c>
      <c r="K458" s="80">
        <v>11688.6</v>
      </c>
      <c r="L458" s="80">
        <v>13326.94</v>
      </c>
      <c r="M458" s="80">
        <v>14418.36</v>
      </c>
      <c r="N458" s="15"/>
    </row>
    <row r="459" ht="18.75" customHeight="1" spans="1:14">
      <c r="A459" s="89" t="s">
        <v>69</v>
      </c>
      <c r="B459" s="80">
        <v>6374.28</v>
      </c>
      <c r="C459" s="80">
        <v>6857.07</v>
      </c>
      <c r="D459" s="114">
        <v>7424.56</v>
      </c>
      <c r="E459" s="80">
        <v>8033.19</v>
      </c>
      <c r="F459" s="80">
        <v>8430.07</v>
      </c>
      <c r="G459" s="114">
        <v>9085.89</v>
      </c>
      <c r="H459" s="80">
        <v>9475.51</v>
      </c>
      <c r="I459" s="80">
        <v>10356.39</v>
      </c>
      <c r="J459" s="114">
        <v>11617.21</v>
      </c>
      <c r="K459" s="80">
        <v>130704.2</v>
      </c>
      <c r="L459" s="80">
        <v>13012.34</v>
      </c>
      <c r="M459" s="80">
        <v>14103.76</v>
      </c>
      <c r="N459" s="15"/>
    </row>
    <row r="460" ht="18.75" customHeight="1" spans="1:14">
      <c r="A460" s="89" t="s">
        <v>27</v>
      </c>
      <c r="B460" s="80">
        <v>8483.31</v>
      </c>
      <c r="C460" s="80">
        <v>9001.19</v>
      </c>
      <c r="D460" s="114">
        <v>9292.8</v>
      </c>
      <c r="E460" s="80">
        <v>9855.45</v>
      </c>
      <c r="F460" s="80">
        <v>10303.15</v>
      </c>
      <c r="G460" s="114">
        <v>11393.36</v>
      </c>
      <c r="H460" s="80">
        <v>12100</v>
      </c>
      <c r="I460" s="80">
        <v>13669.37</v>
      </c>
      <c r="J460" s="114">
        <v>16264.82</v>
      </c>
      <c r="K460" s="80">
        <v>19733.89</v>
      </c>
      <c r="L460" s="80">
        <v>21813.88</v>
      </c>
      <c r="M460" s="80">
        <v>23063.81</v>
      </c>
      <c r="N460" s="15"/>
    </row>
    <row r="461" ht="18.75" customHeight="1" spans="1:14">
      <c r="A461" s="115" t="s">
        <v>70</v>
      </c>
      <c r="B461" s="80">
        <v>15652.56</v>
      </c>
      <c r="C461" s="80">
        <v>16160.76</v>
      </c>
      <c r="D461" s="114">
        <v>16575.79</v>
      </c>
      <c r="E461" s="80">
        <v>17047.69</v>
      </c>
      <c r="F461" s="80">
        <v>17582.51</v>
      </c>
      <c r="G461" s="114">
        <v>18792.51</v>
      </c>
      <c r="H461" s="80">
        <v>19443.49</v>
      </c>
      <c r="I461" s="80">
        <v>20854.35</v>
      </c>
      <c r="J461" s="114">
        <v>23269.51</v>
      </c>
      <c r="K461" s="80">
        <v>27355.68</v>
      </c>
      <c r="L461" s="80">
        <v>29808.35</v>
      </c>
      <c r="M461" s="80">
        <v>31279.71</v>
      </c>
      <c r="N461" s="15"/>
    </row>
    <row r="462" ht="18.75" customHeight="1" spans="1:14">
      <c r="A462" s="89" t="s">
        <v>32</v>
      </c>
      <c r="B462" s="80">
        <v>1829.52</v>
      </c>
      <c r="C462" s="80">
        <v>1865.82</v>
      </c>
      <c r="D462" s="114">
        <v>1904.54</v>
      </c>
      <c r="E462" s="80">
        <v>2098.14</v>
      </c>
      <c r="F462" s="80">
        <v>2291.74</v>
      </c>
      <c r="G462" s="114">
        <v>2397.01</v>
      </c>
      <c r="H462" s="80">
        <v>2595.45</v>
      </c>
      <c r="I462" s="80">
        <v>2678.94</v>
      </c>
      <c r="J462" s="114">
        <v>2953.61</v>
      </c>
      <c r="K462" s="80">
        <v>3286.36</v>
      </c>
      <c r="L462" s="80">
        <v>3486.01</v>
      </c>
      <c r="M462" s="80">
        <v>3605.8</v>
      </c>
      <c r="N462" s="15"/>
    </row>
    <row r="463" ht="18.75" customHeight="1" spans="1:14">
      <c r="A463" s="89" t="s">
        <v>81</v>
      </c>
      <c r="B463" s="80">
        <v>5183.64</v>
      </c>
      <c r="C463" s="80">
        <v>5354.25</v>
      </c>
      <c r="D463" s="114">
        <v>5403.86</v>
      </c>
      <c r="E463" s="80">
        <v>5608.35</v>
      </c>
      <c r="F463" s="80">
        <v>5809.21</v>
      </c>
      <c r="G463" s="114">
        <v>6376.7</v>
      </c>
      <c r="H463" s="80">
        <v>6889.74</v>
      </c>
      <c r="I463" s="80">
        <v>7414.88</v>
      </c>
      <c r="J463" s="114">
        <v>8179.6</v>
      </c>
      <c r="K463" s="80">
        <v>10271.69</v>
      </c>
      <c r="L463" s="80">
        <v>11526.46</v>
      </c>
      <c r="M463" s="80">
        <v>12280.29</v>
      </c>
      <c r="N463" s="15"/>
    </row>
    <row r="464" ht="18.75" customHeight="1" spans="1:14">
      <c r="A464" s="89" t="s">
        <v>82</v>
      </c>
      <c r="B464" s="80">
        <v>6316.2</v>
      </c>
      <c r="C464" s="80">
        <v>6560.62</v>
      </c>
      <c r="D464" s="114">
        <v>6607.81</v>
      </c>
      <c r="E464" s="80">
        <v>6895.79</v>
      </c>
      <c r="F464" s="80">
        <v>7181.35</v>
      </c>
      <c r="G464" s="114">
        <v>7737.95</v>
      </c>
      <c r="H464" s="80">
        <v>8038.03</v>
      </c>
      <c r="I464" s="80">
        <v>8679.33</v>
      </c>
      <c r="J464" s="114">
        <v>9682.42</v>
      </c>
      <c r="K464" s="80">
        <v>11870.1</v>
      </c>
      <c r="L464" s="80">
        <v>13182.95</v>
      </c>
      <c r="M464" s="80">
        <v>13969.45</v>
      </c>
      <c r="N464" s="15"/>
    </row>
    <row r="465" ht="18.75" customHeight="1" spans="1:14">
      <c r="A465" s="89" t="s">
        <v>39</v>
      </c>
      <c r="B465" s="80">
        <v>4294.29</v>
      </c>
      <c r="C465" s="80">
        <v>4351.16</v>
      </c>
      <c r="D465" s="114">
        <v>4475.79</v>
      </c>
      <c r="E465" s="80">
        <v>4901.71</v>
      </c>
      <c r="F465" s="80">
        <v>5180.01</v>
      </c>
      <c r="G465" s="114">
        <v>5615.61</v>
      </c>
      <c r="H465" s="80">
        <v>5695.47</v>
      </c>
      <c r="I465" s="80">
        <v>5914.48</v>
      </c>
      <c r="J465" s="114">
        <v>6391.22</v>
      </c>
      <c r="K465" s="80">
        <v>7472.96</v>
      </c>
      <c r="L465" s="80">
        <v>8122.73</v>
      </c>
      <c r="M465" s="80">
        <v>8511.14</v>
      </c>
      <c r="N465" s="15"/>
    </row>
    <row r="466" ht="18.75" customHeight="1" spans="1:1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 ht="23.25" customHeight="1" spans="1:14">
      <c r="A467" s="120" t="s">
        <v>35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15"/>
    </row>
    <row r="468" ht="18.75" customHeight="1" spans="1:14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5" t="s">
        <v>52</v>
      </c>
      <c r="N468" s="15"/>
    </row>
    <row r="469" ht="18.75" customHeight="1" spans="1:14">
      <c r="A469" s="15"/>
      <c r="B469" s="94"/>
      <c r="C469" s="94"/>
      <c r="D469" s="94"/>
      <c r="E469" s="94"/>
      <c r="F469" s="94"/>
      <c r="G469" s="94"/>
      <c r="H469" s="94"/>
      <c r="I469" s="94"/>
      <c r="J469" s="94"/>
      <c r="N469" s="15"/>
    </row>
    <row r="470" ht="21" customHeight="1" spans="1:14">
      <c r="A470" s="96" t="s">
        <v>97</v>
      </c>
      <c r="N470" s="15"/>
    </row>
    <row r="471" ht="21" customHeight="1" spans="1:14">
      <c r="A471" s="96" t="s">
        <v>89</v>
      </c>
      <c r="K471" s="15"/>
      <c r="L471" s="15"/>
      <c r="M471" s="15"/>
      <c r="N471" s="15"/>
    </row>
    <row r="472" ht="21" customHeight="1" spans="1:14">
      <c r="A472" s="91" t="s">
        <v>55</v>
      </c>
      <c r="J472" s="91"/>
      <c r="K472" s="91"/>
      <c r="L472" s="91"/>
      <c r="M472" s="91"/>
      <c r="N472" s="15"/>
    </row>
    <row r="473" ht="28.5" customHeight="1" spans="1:14">
      <c r="A473" s="98"/>
      <c r="B473" s="99" t="s">
        <v>56</v>
      </c>
      <c r="C473" s="86" t="s">
        <v>57</v>
      </c>
      <c r="D473" s="86" t="s">
        <v>58</v>
      </c>
      <c r="E473" s="86" t="s">
        <v>59</v>
      </c>
      <c r="F473" s="86" t="s">
        <v>60</v>
      </c>
      <c r="G473" s="86" t="s">
        <v>61</v>
      </c>
      <c r="H473" s="86" t="s">
        <v>62</v>
      </c>
      <c r="I473" s="86" t="s">
        <v>63</v>
      </c>
      <c r="J473" s="86" t="s">
        <v>64</v>
      </c>
      <c r="K473" s="86" t="s">
        <v>65</v>
      </c>
      <c r="L473" s="86" t="s">
        <v>66</v>
      </c>
      <c r="M473" s="86" t="s">
        <v>67</v>
      </c>
      <c r="N473" s="15"/>
    </row>
    <row r="474" ht="18.75" customHeight="1" spans="1:14">
      <c r="A474" s="111" t="s">
        <v>68</v>
      </c>
      <c r="B474" s="80">
        <v>4532.495</v>
      </c>
      <c r="C474" s="80">
        <v>4608.395</v>
      </c>
      <c r="D474" s="114">
        <v>4938.56</v>
      </c>
      <c r="E474" s="80">
        <v>5338.3</v>
      </c>
      <c r="F474" s="80">
        <v>5755.75</v>
      </c>
      <c r="G474" s="114">
        <v>6002.425</v>
      </c>
      <c r="H474" s="80">
        <v>6294.64</v>
      </c>
      <c r="I474" s="80">
        <v>6906.9</v>
      </c>
      <c r="J474" s="114">
        <v>7564.7</v>
      </c>
      <c r="K474" s="80">
        <v>9209.2</v>
      </c>
      <c r="L474" s="80">
        <v>10195.9</v>
      </c>
      <c r="M474" s="80">
        <v>10853.7</v>
      </c>
      <c r="N474" s="15"/>
    </row>
    <row r="475" ht="18.75" customHeight="1" spans="1:14">
      <c r="A475" s="89" t="s">
        <v>18</v>
      </c>
      <c r="B475" s="80">
        <v>3715.305</v>
      </c>
      <c r="C475" s="80">
        <v>3997.4</v>
      </c>
      <c r="D475" s="114">
        <v>4340.215</v>
      </c>
      <c r="E475" s="80">
        <v>4642.55</v>
      </c>
      <c r="F475" s="80">
        <v>4918.32</v>
      </c>
      <c r="G475" s="114">
        <v>5153.61</v>
      </c>
      <c r="H475" s="80">
        <v>5448.355</v>
      </c>
      <c r="I475" s="80">
        <v>6225.065</v>
      </c>
      <c r="J475" s="114">
        <v>6407.225</v>
      </c>
      <c r="K475" s="80">
        <v>7893.6</v>
      </c>
      <c r="L475" s="80">
        <v>8584.29</v>
      </c>
      <c r="M475" s="80">
        <v>9083.965</v>
      </c>
      <c r="N475" s="15"/>
    </row>
    <row r="476" ht="18.75" customHeight="1" spans="1:14">
      <c r="A476" s="89" t="s">
        <v>19</v>
      </c>
      <c r="B476" s="80">
        <v>2894.32</v>
      </c>
      <c r="C476" s="80">
        <v>3137.2</v>
      </c>
      <c r="D476" s="114">
        <v>3420.56</v>
      </c>
      <c r="E476" s="80">
        <v>3677.355</v>
      </c>
      <c r="F476" s="80">
        <v>4025.23</v>
      </c>
      <c r="G476" s="114">
        <v>4275.7</v>
      </c>
      <c r="H476" s="80">
        <v>4445.21</v>
      </c>
      <c r="I476" s="80">
        <v>4828.505</v>
      </c>
      <c r="J476" s="114">
        <v>5262.4</v>
      </c>
      <c r="K476" s="80">
        <v>6413.55</v>
      </c>
      <c r="L476" s="80">
        <v>7104.24</v>
      </c>
      <c r="M476" s="80">
        <v>7564.7</v>
      </c>
      <c r="N476" s="15"/>
    </row>
    <row r="477" ht="18.75" customHeight="1" spans="1:14">
      <c r="A477" s="89" t="s">
        <v>20</v>
      </c>
      <c r="B477" s="80">
        <v>2402.235</v>
      </c>
      <c r="C477" s="80">
        <v>2621.08</v>
      </c>
      <c r="D477" s="114">
        <v>2867.755</v>
      </c>
      <c r="E477" s="80">
        <v>3097.985</v>
      </c>
      <c r="F477" s="80">
        <v>3338.335</v>
      </c>
      <c r="G477" s="114">
        <v>3453.45</v>
      </c>
      <c r="H477" s="80">
        <v>3630.55</v>
      </c>
      <c r="I477" s="80">
        <v>3889.875</v>
      </c>
      <c r="J477" s="114">
        <v>4275.7</v>
      </c>
      <c r="K477" s="80">
        <v>5151.08</v>
      </c>
      <c r="L477" s="80">
        <v>5674.79</v>
      </c>
      <c r="M477" s="80">
        <v>6025.195</v>
      </c>
      <c r="N477" s="15"/>
    </row>
    <row r="478" ht="18.75" customHeight="1" spans="1:14">
      <c r="A478" s="89" t="s">
        <v>21</v>
      </c>
      <c r="B478" s="80">
        <v>2279.53</v>
      </c>
      <c r="C478" s="80">
        <v>2307.36</v>
      </c>
      <c r="D478" s="114">
        <v>2406.03</v>
      </c>
      <c r="E478" s="80">
        <v>2476.87</v>
      </c>
      <c r="F478" s="80">
        <v>2660.295</v>
      </c>
      <c r="G478" s="114">
        <v>2790.59</v>
      </c>
      <c r="H478" s="80">
        <v>2846.25</v>
      </c>
      <c r="I478" s="80">
        <v>3030.94</v>
      </c>
      <c r="J478" s="114">
        <v>3431.945</v>
      </c>
      <c r="K478" s="80">
        <v>3950.595</v>
      </c>
      <c r="L478" s="80">
        <v>4260.52</v>
      </c>
      <c r="M478" s="80">
        <v>4467.98</v>
      </c>
      <c r="N478" s="15"/>
    </row>
    <row r="479" ht="18.75" customHeight="1" spans="1:14">
      <c r="A479" s="89" t="s">
        <v>22</v>
      </c>
      <c r="B479" s="80">
        <v>1738.11</v>
      </c>
      <c r="C479" s="80">
        <v>1754.555</v>
      </c>
      <c r="D479" s="114">
        <v>1812.745</v>
      </c>
      <c r="E479" s="80">
        <v>1854.49</v>
      </c>
      <c r="F479" s="80">
        <v>1962.015</v>
      </c>
      <c r="G479" s="114">
        <v>2051.83</v>
      </c>
      <c r="H479" s="80">
        <v>2084.72</v>
      </c>
      <c r="I479" s="80">
        <v>2338.985</v>
      </c>
      <c r="J479" s="114">
        <v>2591.985</v>
      </c>
      <c r="K479" s="80">
        <v>2910.765</v>
      </c>
      <c r="L479" s="80">
        <v>3101.78</v>
      </c>
      <c r="M479" s="80">
        <v>3229.545</v>
      </c>
      <c r="N479" s="15"/>
    </row>
    <row r="480" ht="18.75" customHeight="1" spans="1:14">
      <c r="A480" s="89" t="s">
        <v>23</v>
      </c>
      <c r="B480" s="80">
        <v>5127.045</v>
      </c>
      <c r="C480" s="80">
        <v>5545.76</v>
      </c>
      <c r="D480" s="114">
        <v>5800.025</v>
      </c>
      <c r="E480" s="80">
        <v>6400.9</v>
      </c>
      <c r="F480" s="80">
        <v>6818.35</v>
      </c>
      <c r="G480" s="114">
        <v>7248.45</v>
      </c>
      <c r="H480" s="80">
        <v>7659.575</v>
      </c>
      <c r="I480" s="80">
        <v>8590.615</v>
      </c>
      <c r="J480" s="114">
        <v>9541.895</v>
      </c>
      <c r="K480" s="80">
        <v>11965.635</v>
      </c>
      <c r="L480" s="80">
        <v>13188.89</v>
      </c>
      <c r="M480" s="80">
        <v>13817.595</v>
      </c>
      <c r="N480" s="15"/>
    </row>
    <row r="481" ht="18.75" customHeight="1" spans="1:14">
      <c r="A481" s="89" t="s">
        <v>24</v>
      </c>
      <c r="B481" s="80">
        <v>4798.145</v>
      </c>
      <c r="C481" s="80">
        <v>5216.86</v>
      </c>
      <c r="D481" s="114">
        <v>5471.125</v>
      </c>
      <c r="E481" s="80">
        <v>6072</v>
      </c>
      <c r="F481" s="80">
        <v>6489.45</v>
      </c>
      <c r="G481" s="114">
        <v>6919.55</v>
      </c>
      <c r="H481" s="80">
        <v>7330.675</v>
      </c>
      <c r="I481" s="80">
        <v>8261.715</v>
      </c>
      <c r="J481" s="114">
        <v>9212.995</v>
      </c>
      <c r="K481" s="80">
        <v>11636.735</v>
      </c>
      <c r="L481" s="80">
        <v>12859.99</v>
      </c>
      <c r="M481" s="80">
        <v>13488.695</v>
      </c>
      <c r="N481" s="15"/>
    </row>
    <row r="482" ht="18.75" customHeight="1" spans="1:14">
      <c r="A482" s="89" t="s">
        <v>69</v>
      </c>
      <c r="B482" s="80">
        <v>6150.43</v>
      </c>
      <c r="C482" s="80">
        <v>6565.35</v>
      </c>
      <c r="D482" s="114">
        <v>7099.18</v>
      </c>
      <c r="E482" s="80">
        <v>7988.475</v>
      </c>
      <c r="F482" s="80">
        <v>8087.145</v>
      </c>
      <c r="G482" s="114">
        <v>8633.625</v>
      </c>
      <c r="H482" s="80">
        <v>9119.385</v>
      </c>
      <c r="I482" s="80">
        <v>10141.505</v>
      </c>
      <c r="J482" s="114">
        <v>11014.355</v>
      </c>
      <c r="K482" s="80">
        <v>13527.91</v>
      </c>
      <c r="L482" s="80">
        <v>15035.79</v>
      </c>
      <c r="M482" s="80">
        <v>16040.2</v>
      </c>
      <c r="N482" s="15"/>
    </row>
    <row r="483" ht="18.75" customHeight="1" spans="1:14">
      <c r="A483" s="89" t="s">
        <v>27</v>
      </c>
      <c r="B483" s="80">
        <v>8314.845</v>
      </c>
      <c r="C483" s="80">
        <v>8738.62</v>
      </c>
      <c r="D483" s="114">
        <v>9132.035</v>
      </c>
      <c r="E483" s="80">
        <v>9783.51</v>
      </c>
      <c r="F483" s="80">
        <v>10294.57</v>
      </c>
      <c r="G483" s="114">
        <v>11417.89</v>
      </c>
      <c r="H483" s="80">
        <v>12657.59</v>
      </c>
      <c r="I483" s="80">
        <v>13944.095</v>
      </c>
      <c r="J483" s="114">
        <v>15989.6</v>
      </c>
      <c r="K483" s="80">
        <v>18883.92</v>
      </c>
      <c r="L483" s="80">
        <v>20620.765</v>
      </c>
      <c r="M483" s="80">
        <v>21663.125</v>
      </c>
      <c r="N483" s="15"/>
    </row>
    <row r="484" ht="18.75" customHeight="1" spans="1:14">
      <c r="A484" s="115" t="s">
        <v>70</v>
      </c>
      <c r="B484" s="80">
        <v>15042.115</v>
      </c>
      <c r="C484" s="80">
        <v>15546.85</v>
      </c>
      <c r="D484" s="114">
        <v>15980.745</v>
      </c>
      <c r="E484" s="80">
        <v>16462.71</v>
      </c>
      <c r="F484" s="80">
        <v>16999.07</v>
      </c>
      <c r="G484" s="114">
        <v>18181.845</v>
      </c>
      <c r="H484" s="80">
        <v>18819.405</v>
      </c>
      <c r="I484" s="80">
        <v>20194.46</v>
      </c>
      <c r="J484" s="114">
        <v>22697.895</v>
      </c>
      <c r="K484" s="80">
        <v>27001.425</v>
      </c>
      <c r="L484" s="80">
        <v>29583.29</v>
      </c>
      <c r="M484" s="80">
        <v>31378.325</v>
      </c>
      <c r="N484" s="15"/>
    </row>
    <row r="485" ht="18.75" customHeight="1" spans="1:14">
      <c r="A485" s="111" t="s">
        <v>71</v>
      </c>
      <c r="B485" s="80">
        <v>1803.89</v>
      </c>
      <c r="C485" s="80">
        <v>1841.84</v>
      </c>
      <c r="D485" s="114">
        <v>1973.4</v>
      </c>
      <c r="E485" s="80">
        <v>2187.185</v>
      </c>
      <c r="F485" s="80">
        <v>2350.37</v>
      </c>
      <c r="G485" s="114">
        <v>2493.315</v>
      </c>
      <c r="H485" s="80">
        <v>2707.1</v>
      </c>
      <c r="I485" s="80">
        <v>2795.65</v>
      </c>
      <c r="J485" s="114">
        <v>3124.55</v>
      </c>
      <c r="K485" s="80">
        <v>3574.89</v>
      </c>
      <c r="L485" s="80">
        <v>3844.335</v>
      </c>
      <c r="M485" s="80">
        <v>4007.52</v>
      </c>
      <c r="N485" s="15"/>
    </row>
    <row r="486" ht="18.75" customHeight="1" spans="1:14">
      <c r="A486" s="111" t="s">
        <v>72</v>
      </c>
      <c r="B486" s="80">
        <v>5052.41</v>
      </c>
      <c r="C486" s="80">
        <v>5208.005</v>
      </c>
      <c r="D486" s="114">
        <v>5280.11</v>
      </c>
      <c r="E486" s="80">
        <v>5485.04</v>
      </c>
      <c r="F486" s="80">
        <v>5667.2</v>
      </c>
      <c r="G486" s="114">
        <v>6102.36</v>
      </c>
      <c r="H486" s="80">
        <v>6304.76</v>
      </c>
      <c r="I486" s="80">
        <v>6748.775</v>
      </c>
      <c r="J486" s="114">
        <v>7571.025</v>
      </c>
      <c r="K486" s="80">
        <v>9133.3</v>
      </c>
      <c r="L486" s="80">
        <v>10070.665</v>
      </c>
      <c r="M486" s="80">
        <v>10633.59</v>
      </c>
      <c r="N486" s="15"/>
    </row>
    <row r="487" ht="18.75" customHeight="1" spans="1:14">
      <c r="A487" s="111" t="s">
        <v>73</v>
      </c>
      <c r="B487" s="80">
        <v>2048.035</v>
      </c>
      <c r="C487" s="80">
        <v>2132.79</v>
      </c>
      <c r="D487" s="114">
        <v>2284.59</v>
      </c>
      <c r="E487" s="80">
        <v>2409.825</v>
      </c>
      <c r="F487" s="80">
        <v>2499.64</v>
      </c>
      <c r="G487" s="114">
        <v>2801.975</v>
      </c>
      <c r="H487" s="80">
        <v>2999.315</v>
      </c>
      <c r="I487" s="80">
        <v>3492.665</v>
      </c>
      <c r="J487" s="114">
        <v>3788.675</v>
      </c>
      <c r="K487" s="80">
        <v>4647.61</v>
      </c>
      <c r="L487" s="80">
        <v>5162.465</v>
      </c>
      <c r="M487" s="80">
        <v>5471.125</v>
      </c>
      <c r="N487" s="15"/>
    </row>
    <row r="488" ht="18.75" customHeight="1" spans="1:14">
      <c r="A488" s="119" t="s">
        <v>74</v>
      </c>
      <c r="B488" s="80">
        <v>2585.66</v>
      </c>
      <c r="C488" s="80">
        <v>2713.425</v>
      </c>
      <c r="D488" s="114">
        <v>2894.32</v>
      </c>
      <c r="E488" s="80">
        <v>2998.05</v>
      </c>
      <c r="F488" s="80">
        <v>3158.705</v>
      </c>
      <c r="G488" s="114">
        <v>3678.62</v>
      </c>
      <c r="H488" s="80">
        <v>3925.295</v>
      </c>
      <c r="I488" s="80">
        <v>4356.66</v>
      </c>
      <c r="J488" s="114">
        <v>4857.6</v>
      </c>
      <c r="K488" s="80">
        <v>5831.65</v>
      </c>
      <c r="L488" s="80">
        <v>6414.815</v>
      </c>
      <c r="M488" s="80">
        <v>6765.22</v>
      </c>
      <c r="N488" s="15"/>
    </row>
    <row r="489" ht="18.75" customHeight="1" spans="1:14">
      <c r="A489" s="111" t="s">
        <v>77</v>
      </c>
      <c r="B489" s="80">
        <v>3412.97</v>
      </c>
      <c r="C489" s="80">
        <v>3502.785</v>
      </c>
      <c r="D489" s="114">
        <v>3787.41</v>
      </c>
      <c r="E489" s="80">
        <v>4111.25</v>
      </c>
      <c r="F489" s="80">
        <v>4357.925</v>
      </c>
      <c r="G489" s="114">
        <v>4675.44</v>
      </c>
      <c r="H489" s="80">
        <v>5004.34</v>
      </c>
      <c r="I489" s="80">
        <v>5507.81</v>
      </c>
      <c r="J489" s="114">
        <v>6068.205</v>
      </c>
      <c r="K489" s="80">
        <v>6495.775</v>
      </c>
      <c r="L489" s="80">
        <v>6555.23</v>
      </c>
      <c r="M489" s="80">
        <v>6594.445</v>
      </c>
      <c r="N489" s="15"/>
    </row>
    <row r="490" ht="18.75" customHeight="1" spans="1:1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 ht="23.25" customHeight="1" spans="1:14">
      <c r="A491" s="120" t="s">
        <v>35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15"/>
    </row>
    <row r="492" ht="18.75" customHeight="1" spans="1:14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5" t="s">
        <v>52</v>
      </c>
      <c r="N492" s="15"/>
    </row>
    <row r="493" ht="18.75" customHeight="1" spans="1:14">
      <c r="A493" s="15"/>
      <c r="B493" s="94"/>
      <c r="C493" s="94"/>
      <c r="D493" s="94"/>
      <c r="E493" s="94"/>
      <c r="F493" s="94"/>
      <c r="G493" s="94"/>
      <c r="H493" s="94"/>
      <c r="I493" s="94"/>
      <c r="J493" s="94"/>
      <c r="N493" s="15"/>
    </row>
    <row r="494" ht="21" customHeight="1" spans="1:14">
      <c r="A494" s="96" t="s">
        <v>98</v>
      </c>
      <c r="N494" s="15"/>
    </row>
    <row r="495" ht="21" customHeight="1" spans="1:14">
      <c r="A495" s="96" t="s">
        <v>89</v>
      </c>
      <c r="K495" s="15"/>
      <c r="L495" s="15"/>
      <c r="M495" s="15"/>
      <c r="N495" s="15"/>
    </row>
    <row r="496" ht="21" customHeight="1" spans="1:14">
      <c r="A496" s="91" t="s">
        <v>55</v>
      </c>
      <c r="J496" s="91"/>
      <c r="K496" s="91"/>
      <c r="L496" s="91"/>
      <c r="M496" s="91"/>
      <c r="N496" s="15"/>
    </row>
    <row r="497" ht="28.5" customHeight="1" spans="1:14">
      <c r="A497" s="98"/>
      <c r="B497" s="99" t="s">
        <v>56</v>
      </c>
      <c r="C497" s="86" t="s">
        <v>57</v>
      </c>
      <c r="D497" s="86" t="s">
        <v>58</v>
      </c>
      <c r="E497" s="86" t="s">
        <v>59</v>
      </c>
      <c r="F497" s="86" t="s">
        <v>60</v>
      </c>
      <c r="G497" s="86" t="s">
        <v>61</v>
      </c>
      <c r="H497" s="86" t="s">
        <v>62</v>
      </c>
      <c r="I497" s="86" t="s">
        <v>63</v>
      </c>
      <c r="J497" s="86" t="s">
        <v>64</v>
      </c>
      <c r="K497" s="86" t="s">
        <v>65</v>
      </c>
      <c r="L497" s="86" t="s">
        <v>66</v>
      </c>
      <c r="M497" s="86" t="s">
        <v>67</v>
      </c>
      <c r="N497" s="15"/>
    </row>
    <row r="498" ht="18.75" customHeight="1" spans="1:14">
      <c r="A498" s="111" t="s">
        <v>68</v>
      </c>
      <c r="B498" s="117">
        <v>5251.015</v>
      </c>
      <c r="C498" s="117">
        <v>5715.27</v>
      </c>
      <c r="D498" s="118">
        <v>6084.65</v>
      </c>
      <c r="E498" s="117">
        <v>6594.445</v>
      </c>
      <c r="F498" s="117">
        <v>6994.185</v>
      </c>
      <c r="G498" s="118">
        <v>7300.315</v>
      </c>
      <c r="H498" s="117">
        <v>8003.655</v>
      </c>
      <c r="I498" s="117">
        <v>8741.15</v>
      </c>
      <c r="J498" s="118">
        <v>9398.95</v>
      </c>
      <c r="K498" s="117">
        <v>12004.85</v>
      </c>
      <c r="L498" s="80">
        <v>13156</v>
      </c>
      <c r="M498" s="80">
        <v>14142.7</v>
      </c>
      <c r="N498" s="15"/>
    </row>
    <row r="499" ht="18.75" customHeight="1" spans="1:14">
      <c r="A499" s="89" t="s">
        <v>18</v>
      </c>
      <c r="B499" s="117">
        <v>4531.23</v>
      </c>
      <c r="C499" s="117">
        <v>4833.565</v>
      </c>
      <c r="D499" s="118">
        <v>5262.4</v>
      </c>
      <c r="E499" s="117">
        <v>5576.12</v>
      </c>
      <c r="F499" s="117">
        <v>5920.2</v>
      </c>
      <c r="G499" s="118">
        <v>6073.265</v>
      </c>
      <c r="H499" s="117">
        <v>6890.455</v>
      </c>
      <c r="I499" s="117">
        <v>7648.19</v>
      </c>
      <c r="J499" s="118">
        <v>7893.6</v>
      </c>
      <c r="K499" s="117">
        <v>10195.9</v>
      </c>
      <c r="L499" s="80">
        <v>11182.6</v>
      </c>
      <c r="M499" s="80">
        <v>12087.075</v>
      </c>
      <c r="N499" s="15"/>
    </row>
    <row r="500" ht="18.75" customHeight="1" spans="1:14">
      <c r="A500" s="89" t="s">
        <v>19</v>
      </c>
      <c r="B500" s="117">
        <v>3696.33</v>
      </c>
      <c r="C500" s="117">
        <v>3953.125</v>
      </c>
      <c r="D500" s="118">
        <v>4275.7</v>
      </c>
      <c r="E500" s="117">
        <v>4556.53</v>
      </c>
      <c r="F500" s="117">
        <v>4838.625</v>
      </c>
      <c r="G500" s="118">
        <v>5340.83</v>
      </c>
      <c r="H500" s="117">
        <v>5611.54</v>
      </c>
      <c r="I500" s="117">
        <v>6226.33</v>
      </c>
      <c r="J500" s="118">
        <v>6578</v>
      </c>
      <c r="K500" s="117">
        <v>8437.55</v>
      </c>
      <c r="L500" s="80">
        <v>9309.135</v>
      </c>
      <c r="M500" s="80">
        <v>9889.77</v>
      </c>
      <c r="N500" s="15"/>
    </row>
    <row r="501" ht="18.75" customHeight="1" spans="1:14">
      <c r="A501" s="89" t="s">
        <v>20</v>
      </c>
      <c r="B501" s="117">
        <v>3375.02</v>
      </c>
      <c r="C501" s="117">
        <v>3453.45</v>
      </c>
      <c r="D501" s="118">
        <v>3649.525</v>
      </c>
      <c r="E501" s="117">
        <v>3786.145</v>
      </c>
      <c r="F501" s="117">
        <v>4144.14</v>
      </c>
      <c r="G501" s="118">
        <v>4319.975</v>
      </c>
      <c r="H501" s="117">
        <v>4446.475</v>
      </c>
      <c r="I501" s="117">
        <v>4790.555</v>
      </c>
      <c r="J501" s="118">
        <v>5492.63</v>
      </c>
      <c r="K501" s="117">
        <v>6438.85</v>
      </c>
      <c r="L501" s="80">
        <v>7005.57</v>
      </c>
      <c r="M501" s="80">
        <v>7345.855</v>
      </c>
      <c r="N501" s="15"/>
    </row>
    <row r="502" ht="18.75" customHeight="1" spans="1:14">
      <c r="A502" s="89" t="s">
        <v>21</v>
      </c>
      <c r="B502" s="117">
        <v>2684.33</v>
      </c>
      <c r="C502" s="117">
        <v>2741.255</v>
      </c>
      <c r="D502" s="118">
        <v>2881.67</v>
      </c>
      <c r="E502" s="117">
        <v>2977.81</v>
      </c>
      <c r="F502" s="117">
        <v>3234.605</v>
      </c>
      <c r="G502" s="118">
        <v>3371.225</v>
      </c>
      <c r="H502" s="117">
        <v>3462.305</v>
      </c>
      <c r="I502" s="117">
        <v>3706.45</v>
      </c>
      <c r="J502" s="118">
        <v>4218.775</v>
      </c>
      <c r="K502" s="117">
        <v>4905.67</v>
      </c>
      <c r="L502" s="80">
        <v>5318.06</v>
      </c>
      <c r="M502" s="80">
        <v>5564.735</v>
      </c>
      <c r="N502" s="15"/>
    </row>
    <row r="503" ht="18.75" customHeight="1" spans="1:14">
      <c r="A503" s="89" t="s">
        <v>22</v>
      </c>
      <c r="B503" s="117">
        <v>2022.735</v>
      </c>
      <c r="C503" s="117">
        <v>2054.36</v>
      </c>
      <c r="D503" s="118">
        <v>2132.79</v>
      </c>
      <c r="E503" s="117">
        <v>2187.185</v>
      </c>
      <c r="F503" s="117">
        <v>2333.925</v>
      </c>
      <c r="G503" s="118">
        <v>2428.8</v>
      </c>
      <c r="H503" s="117">
        <v>2479.4</v>
      </c>
      <c r="I503" s="117">
        <v>2618.55</v>
      </c>
      <c r="J503" s="118">
        <v>2928.475</v>
      </c>
      <c r="K503" s="117">
        <v>3334.54</v>
      </c>
      <c r="L503" s="80">
        <v>3578.685</v>
      </c>
      <c r="M503" s="80">
        <v>3725.425</v>
      </c>
      <c r="N503" s="15"/>
    </row>
    <row r="504" ht="18.75" customHeight="1" spans="1:14">
      <c r="A504" s="89" t="s">
        <v>23</v>
      </c>
      <c r="B504" s="117">
        <v>6079.59</v>
      </c>
      <c r="C504" s="117">
        <v>6485.655</v>
      </c>
      <c r="D504" s="118">
        <v>7132.07</v>
      </c>
      <c r="E504" s="117">
        <v>7602.65</v>
      </c>
      <c r="F504" s="117">
        <v>8217.44</v>
      </c>
      <c r="G504" s="118">
        <v>9039.69</v>
      </c>
      <c r="H504" s="117">
        <v>9860.675</v>
      </c>
      <c r="I504" s="117">
        <v>10174.395</v>
      </c>
      <c r="J504" s="118">
        <v>11188.925</v>
      </c>
      <c r="K504" s="117">
        <v>14104.75</v>
      </c>
      <c r="L504" s="80">
        <v>15854.245</v>
      </c>
      <c r="M504" s="80">
        <v>17020.575</v>
      </c>
      <c r="N504" s="15"/>
    </row>
    <row r="505" ht="18.75" customHeight="1" spans="1:14">
      <c r="A505" s="89" t="s">
        <v>24</v>
      </c>
      <c r="B505" s="117">
        <v>6889.19</v>
      </c>
      <c r="C505" s="117">
        <v>6156.755</v>
      </c>
      <c r="D505" s="118">
        <v>6803.17</v>
      </c>
      <c r="E505" s="117">
        <v>7273.75</v>
      </c>
      <c r="F505" s="117">
        <v>7888.54</v>
      </c>
      <c r="G505" s="118">
        <v>8710.79</v>
      </c>
      <c r="H505" s="117">
        <v>9531.775</v>
      </c>
      <c r="I505" s="117">
        <v>9845.495</v>
      </c>
      <c r="J505" s="118">
        <v>10860.025</v>
      </c>
      <c r="K505" s="117">
        <v>13775.85</v>
      </c>
      <c r="L505" s="80">
        <v>15525.345</v>
      </c>
      <c r="M505" s="80">
        <v>16691.675</v>
      </c>
      <c r="N505" s="15"/>
    </row>
    <row r="506" ht="18.75" customHeight="1" spans="1:14">
      <c r="A506" s="89" t="s">
        <v>69</v>
      </c>
      <c r="B506" s="117">
        <v>7201.645</v>
      </c>
      <c r="C506" s="117">
        <v>7887.275</v>
      </c>
      <c r="D506" s="118">
        <v>8497.005</v>
      </c>
      <c r="E506" s="117">
        <v>9152.275</v>
      </c>
      <c r="F506" s="117">
        <v>9522.92</v>
      </c>
      <c r="G506" s="118">
        <v>10243.97</v>
      </c>
      <c r="H506" s="117">
        <v>10701.9</v>
      </c>
      <c r="I506" s="117">
        <v>11701.25</v>
      </c>
      <c r="J506" s="118">
        <v>12980.165</v>
      </c>
      <c r="K506" s="117">
        <v>16075.62</v>
      </c>
      <c r="L506" s="80">
        <v>17931.375</v>
      </c>
      <c r="M506" s="80">
        <v>19169.81</v>
      </c>
      <c r="N506" s="15"/>
    </row>
    <row r="507" ht="18.75" customHeight="1" spans="1:14">
      <c r="A507" s="89" t="s">
        <v>27</v>
      </c>
      <c r="B507" s="117">
        <v>9501.415</v>
      </c>
      <c r="C507" s="117">
        <v>9980.85</v>
      </c>
      <c r="D507" s="118">
        <v>10360.35</v>
      </c>
      <c r="E507" s="117">
        <v>10962.49</v>
      </c>
      <c r="F507" s="117">
        <v>11587.4</v>
      </c>
      <c r="G507" s="118">
        <v>12543.74</v>
      </c>
      <c r="H507" s="117">
        <v>13349.545</v>
      </c>
      <c r="I507" s="117">
        <v>15134.46</v>
      </c>
      <c r="J507" s="118">
        <v>17865.595</v>
      </c>
      <c r="K507" s="117">
        <v>21631.5</v>
      </c>
      <c r="L507" s="80">
        <v>23890.79</v>
      </c>
      <c r="M507" s="80">
        <v>25246.87</v>
      </c>
      <c r="N507" s="15"/>
    </row>
    <row r="508" ht="18.75" customHeight="1" spans="1:14">
      <c r="A508" s="115" t="s">
        <v>70</v>
      </c>
      <c r="B508" s="117">
        <v>16966.18</v>
      </c>
      <c r="C508" s="117">
        <v>17543.02</v>
      </c>
      <c r="D508" s="118">
        <v>18024.985</v>
      </c>
      <c r="E508" s="117">
        <v>18570.2</v>
      </c>
      <c r="F508" s="117">
        <v>19179.93</v>
      </c>
      <c r="G508" s="118">
        <v>20532.215</v>
      </c>
      <c r="H508" s="117">
        <v>21268.445</v>
      </c>
      <c r="I508" s="117">
        <v>22862.345</v>
      </c>
      <c r="J508" s="118">
        <v>25556.795</v>
      </c>
      <c r="K508" s="117">
        <v>30242.355</v>
      </c>
      <c r="L508" s="80">
        <v>33053.185</v>
      </c>
      <c r="M508" s="80">
        <v>34740.695</v>
      </c>
      <c r="N508" s="15"/>
    </row>
    <row r="509" ht="18.75" customHeight="1" spans="1:14">
      <c r="A509" s="111" t="s">
        <v>32</v>
      </c>
      <c r="B509" s="117">
        <v>1968.34</v>
      </c>
      <c r="C509" s="117">
        <v>2006.29</v>
      </c>
      <c r="D509" s="118">
        <v>2137.85</v>
      </c>
      <c r="E509" s="117">
        <v>2351.635</v>
      </c>
      <c r="F509" s="117">
        <v>2514.82</v>
      </c>
      <c r="G509" s="118">
        <v>2657.765</v>
      </c>
      <c r="H509" s="117">
        <v>2871.55</v>
      </c>
      <c r="I509" s="117">
        <v>2960.1</v>
      </c>
      <c r="J509" s="118">
        <v>3289</v>
      </c>
      <c r="K509" s="117">
        <v>3739.34</v>
      </c>
      <c r="L509" s="80">
        <v>4008.785</v>
      </c>
      <c r="M509" s="80">
        <v>4171.97</v>
      </c>
      <c r="N509" s="15"/>
    </row>
    <row r="510" ht="18.75" customHeight="1" spans="1:14">
      <c r="A510" s="89" t="s">
        <v>81</v>
      </c>
      <c r="B510" s="117">
        <v>5507.81</v>
      </c>
      <c r="C510" s="117">
        <v>5740.57</v>
      </c>
      <c r="D510" s="118">
        <v>5820.265</v>
      </c>
      <c r="E510" s="117">
        <v>6078.325</v>
      </c>
      <c r="F510" s="117">
        <v>6354.095</v>
      </c>
      <c r="G510" s="118">
        <v>7020.75</v>
      </c>
      <c r="H510" s="117">
        <v>7493.86</v>
      </c>
      <c r="I510" s="117">
        <v>8237.68</v>
      </c>
      <c r="J510" s="118">
        <v>9218.055</v>
      </c>
      <c r="K510" s="117">
        <v>11331.87</v>
      </c>
      <c r="L510" s="80">
        <v>12601.93</v>
      </c>
      <c r="M510" s="80">
        <v>13363.46</v>
      </c>
      <c r="N510" s="15"/>
    </row>
    <row r="511" ht="18.75" customHeight="1" spans="1:14">
      <c r="A511" s="89" t="s">
        <v>82</v>
      </c>
      <c r="B511" s="117">
        <v>7152.31</v>
      </c>
      <c r="C511" s="117">
        <v>7385.07</v>
      </c>
      <c r="D511" s="118">
        <v>7464.765</v>
      </c>
      <c r="E511" s="117">
        <v>7722.825</v>
      </c>
      <c r="F511" s="117">
        <v>7998.595</v>
      </c>
      <c r="G511" s="118">
        <v>8665.25</v>
      </c>
      <c r="H511" s="117">
        <v>9138.36</v>
      </c>
      <c r="I511" s="117">
        <v>9882.18</v>
      </c>
      <c r="J511" s="118">
        <v>10862.555</v>
      </c>
      <c r="K511" s="117">
        <v>12976.37</v>
      </c>
      <c r="L511" s="80">
        <v>14246.43</v>
      </c>
      <c r="M511" s="80">
        <v>15007.96</v>
      </c>
      <c r="N511" s="15"/>
    </row>
    <row r="512" ht="18.75" customHeight="1" spans="1:14">
      <c r="A512" s="89" t="s">
        <v>39</v>
      </c>
      <c r="B512" s="117">
        <v>4933.5</v>
      </c>
      <c r="C512" s="117">
        <v>5576.12</v>
      </c>
      <c r="D512" s="118">
        <v>5655.815</v>
      </c>
      <c r="E512" s="117">
        <v>5913.875</v>
      </c>
      <c r="F512" s="117">
        <v>6189.645</v>
      </c>
      <c r="G512" s="118">
        <v>6691.85</v>
      </c>
      <c r="H512" s="117">
        <v>7000.51</v>
      </c>
      <c r="I512" s="117">
        <v>7579.88</v>
      </c>
      <c r="J512" s="118">
        <v>8390.745</v>
      </c>
      <c r="K512" s="117">
        <v>10345.17</v>
      </c>
      <c r="L512" s="80">
        <v>11517.825</v>
      </c>
      <c r="M512" s="80">
        <v>12222.43</v>
      </c>
      <c r="N512" s="15"/>
    </row>
    <row r="513" ht="18.75" customHeight="1" spans="1:1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 ht="18.75" customHeight="1" spans="1: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 ht="18.75" customHeight="1" spans="1:1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 ht="18.75" customHeight="1" spans="1:1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 ht="18.75" customHeight="1" spans="1:1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 ht="18.75" customHeight="1" spans="1:1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 ht="18.75" customHeight="1" spans="1:1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 ht="18.75" customHeight="1" spans="1:1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 ht="18.75" customHeight="1" spans="1:1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 ht="18.75" customHeight="1" spans="1:1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 ht="18.75" customHeight="1" spans="1:1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 ht="18.75" customHeight="1" spans="1:1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 ht="18.75" customHeight="1" spans="1:1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 ht="18.75" customHeight="1" spans="1:1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 ht="18.75" customHeight="1" spans="1:1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 ht="18.75" customHeight="1" spans="1:1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 ht="18.75" customHeight="1" spans="1:1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 ht="18.75" customHeight="1" spans="1:1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 ht="18.75" customHeight="1" spans="1:1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 ht="18.75" customHeight="1" spans="1:1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 ht="18.75" customHeight="1" spans="1:1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 ht="18.75" customHeight="1" spans="1:1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 ht="18.75" customHeight="1" spans="1:1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 ht="18.75" customHeight="1" spans="1:1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 ht="18.75" customHeight="1" spans="1:1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 ht="18.75" customHeight="1" spans="1:1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 ht="18.75" customHeight="1" spans="1:1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 ht="18.75" customHeight="1" spans="1:1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 ht="18.75" customHeight="1" spans="1:1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 ht="18.75" customHeight="1" spans="1:1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 ht="18.75" customHeight="1" spans="1:1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 ht="18.75" customHeight="1" spans="1:1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 ht="18.75" customHeight="1" spans="1:1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 ht="18.75" customHeight="1" spans="1:1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 ht="18.75" customHeight="1" spans="1:1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 ht="18.75" customHeight="1" spans="1:1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 ht="18.75" customHeight="1" spans="1:1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 ht="18.75" customHeight="1" spans="1:1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 ht="18.75" customHeight="1" spans="1:1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 ht="18.75" customHeight="1" spans="1:1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 ht="18.75" customHeight="1" spans="1:1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 ht="18.75" customHeight="1" spans="1:1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 ht="18.75" customHeight="1" spans="1:1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 ht="18.75" customHeight="1" spans="1:1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 ht="18.75" customHeight="1" spans="1:1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 ht="18.75" customHeight="1" spans="1:1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 ht="18.75" customHeight="1" spans="1:1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 ht="18.75" customHeight="1" spans="1:1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 ht="18.75" customHeight="1" spans="1:1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 ht="18.75" customHeight="1" spans="1:1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 ht="18.75" customHeight="1" spans="1:1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 ht="18.75" customHeight="1" spans="1:1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 ht="18.75" customHeight="1" spans="1:1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 ht="18.75" customHeight="1" spans="1:1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 ht="18.75" customHeight="1" spans="1:1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 ht="18.75" customHeight="1" spans="1:1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 ht="18.75" customHeight="1" spans="1:1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 ht="18.75" customHeight="1" spans="1:1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 ht="18.75" customHeight="1" spans="1:1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 ht="18.75" customHeight="1" spans="1:1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 ht="18.75" customHeight="1" spans="1:1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 ht="18.75" customHeight="1" spans="1:1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 ht="18.75" customHeight="1" spans="1:1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 ht="18.75" customHeight="1" spans="1:1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 ht="18.75" customHeight="1" spans="1:1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 ht="18.75" customHeight="1" spans="1:1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 ht="18.75" customHeight="1" spans="1:1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 ht="18.75" customHeight="1" spans="1:1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 ht="18.75" customHeight="1" spans="1:1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 ht="18.75" customHeight="1" spans="1:1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 ht="18.75" customHeight="1" spans="1:1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 ht="18.75" customHeight="1" spans="1:1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 ht="18.75" customHeight="1" spans="1:1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 ht="18.75" customHeight="1" spans="1:1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 ht="18.75" customHeight="1" spans="1:1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 ht="18.75" customHeight="1" spans="1:1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 ht="18.75" customHeight="1" spans="1:1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 ht="18.75" customHeight="1" spans="1:1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 ht="18.75" customHeight="1" spans="1:1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 ht="18.75" customHeight="1" spans="1:1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 ht="18.75" customHeight="1" spans="1:1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 ht="18.75" customHeight="1" spans="1:1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 ht="18.75" customHeight="1" spans="1:1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 ht="18.75" customHeight="1" spans="1:1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 ht="18.75" customHeight="1" spans="1:1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 ht="18.75" customHeight="1" spans="1:1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 ht="18.75" customHeight="1" spans="1:1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 ht="18.75" customHeight="1" spans="1:1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 ht="18.75" customHeight="1" spans="1:1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 ht="18.75" customHeight="1" spans="1:1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 ht="18.75" customHeight="1" spans="1:1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 ht="18.75" customHeight="1" spans="1:1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 ht="18.75" customHeight="1" spans="1:1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 ht="18.75" customHeight="1" spans="1:1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 ht="18.75" customHeight="1" spans="1:1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 ht="18.75" customHeight="1" spans="1:1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 ht="18.75" customHeight="1" spans="1:1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 ht="18.75" customHeight="1" spans="1:1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 ht="18.75" customHeight="1" spans="1:1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 ht="18.75" customHeight="1" spans="1:1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 ht="18.75" customHeight="1" spans="1:1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 ht="18.75" customHeight="1" spans="1: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 ht="18.75" customHeight="1" spans="1:1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 ht="18.75" customHeight="1" spans="1:1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 ht="18.75" customHeight="1" spans="1:1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 ht="18.75" customHeight="1" spans="1:1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 ht="18.75" customHeight="1" spans="1:1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 ht="18.75" customHeight="1" spans="1:1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 ht="18.75" customHeight="1" spans="1:1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 ht="18.75" customHeight="1" spans="1:1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 ht="18.75" customHeight="1" spans="1:1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 ht="18.75" customHeight="1" spans="1:1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 ht="18.75" customHeight="1" spans="1:1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 ht="18.75" customHeight="1" spans="1:1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 ht="18.75" customHeight="1" spans="1:1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 ht="18.75" customHeight="1" spans="1:1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 ht="18.75" customHeight="1" spans="1:1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 ht="18.75" customHeight="1" spans="1:1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 ht="18.75" customHeight="1" spans="1:1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 ht="18.75" customHeight="1" spans="1:1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 ht="18.75" customHeight="1" spans="1:1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 ht="18.75" customHeight="1" spans="1:1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 ht="18.75" customHeight="1" spans="1:1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 ht="18.75" customHeight="1" spans="1:1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 ht="18.75" customHeight="1" spans="1:1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 ht="18.75" customHeight="1" spans="1:1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 ht="18.75" customHeight="1" spans="1:1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 ht="18.75" customHeight="1" spans="1:1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 ht="18.75" customHeight="1" spans="1:1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 ht="18.75" customHeight="1" spans="1:1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 ht="18.75" customHeight="1" spans="1:1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 ht="18.75" customHeight="1" spans="1:1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 ht="18.75" customHeight="1" spans="1:1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 ht="18.75" customHeight="1" spans="1:1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 ht="18.75" customHeight="1" spans="1:1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 ht="18.75" customHeight="1" spans="1:1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 ht="18.75" customHeight="1" spans="1:1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 ht="18.75" customHeight="1" spans="1:1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 ht="18.75" customHeight="1" spans="1:1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 ht="18.75" customHeight="1" spans="1:1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 ht="18.75" customHeight="1" spans="1:1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 ht="18.75" customHeight="1" spans="1:1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 ht="18.75" customHeight="1" spans="1:1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 ht="18.75" customHeight="1" spans="1:1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 ht="18.75" customHeight="1" spans="1:1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 ht="18.75" customHeight="1" spans="1:1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 ht="18.75" customHeight="1" spans="1:1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 ht="18.75" customHeight="1" spans="1:1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 ht="18.75" customHeight="1" spans="1:1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 ht="18.75" customHeight="1" spans="1:1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 ht="18.75" customHeight="1" spans="1:1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 ht="18.75" customHeight="1" spans="1:1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 ht="18.75" customHeight="1" spans="1:1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 ht="18.75" customHeight="1" spans="1:1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 ht="18.75" customHeight="1" spans="1:1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 ht="18.75" customHeight="1" spans="1:1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 ht="18.75" customHeight="1" spans="1:1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 ht="18.75" customHeight="1" spans="1:1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 ht="18.75" customHeight="1" spans="1:1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 ht="18.75" customHeight="1" spans="1:1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 ht="18.75" customHeight="1" spans="1:1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 ht="18.75" customHeight="1" spans="1:1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 ht="18.75" customHeight="1" spans="1:1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 ht="18.75" customHeight="1" spans="1:1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 ht="18.75" customHeight="1" spans="1:1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 ht="18.75" customHeight="1" spans="1:1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 ht="18.75" customHeight="1" spans="1:1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 ht="18.75" customHeight="1" spans="1:1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 ht="18.75" customHeight="1" spans="1:1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 ht="18.75" customHeight="1" spans="1:1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 ht="18.75" customHeight="1" spans="1:1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 ht="18.75" customHeight="1" spans="1:1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 ht="18.75" customHeight="1" spans="1:1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 ht="18.75" customHeight="1" spans="1:1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 ht="18.75" customHeight="1" spans="1:1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 ht="18.75" customHeight="1" spans="1:1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 ht="18.75" customHeight="1" spans="1:1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 ht="18.75" customHeight="1" spans="1:1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 ht="18.75" customHeight="1" spans="1:1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 ht="18.75" customHeight="1" spans="1:1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 ht="18.75" customHeight="1" spans="1:1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 ht="18.75" customHeight="1" spans="1:1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 ht="18.75" customHeight="1" spans="1:1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 ht="18.75" customHeight="1" spans="1:1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 ht="18.75" customHeight="1" spans="1:1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 ht="18.75" customHeight="1" spans="1:1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 ht="18.75" customHeight="1" spans="1:1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 ht="18.75" customHeight="1" spans="1:1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 ht="18.75" customHeight="1" spans="1:1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 ht="18.75" customHeight="1" spans="1:1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 ht="18.75" customHeight="1" spans="1:1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 ht="18.75" customHeight="1" spans="1:1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 ht="18.75" customHeight="1" spans="1:1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 ht="18.75" customHeight="1" spans="1:1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 ht="18.75" customHeight="1" spans="1:1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 ht="18.75" customHeight="1" spans="1:1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 ht="18.75" customHeight="1" spans="1:1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 ht="18.75" customHeight="1" spans="1:1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 ht="18.75" customHeight="1" spans="1:1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 ht="18.75" customHeight="1" spans="1:1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 ht="18.75" customHeight="1" spans="1:1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 ht="18.75" customHeight="1" spans="1: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 ht="18.75" customHeight="1" spans="1:1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 ht="18.75" customHeight="1" spans="1:1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 ht="18.75" customHeight="1" spans="1:1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 ht="18.75" customHeight="1" spans="1:1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 ht="18.75" customHeight="1" spans="1:1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 ht="18.75" customHeight="1" spans="1:1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 ht="18.75" customHeight="1" spans="1:1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 ht="18.75" customHeight="1" spans="1:1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 ht="18.75" customHeight="1" spans="1:1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 ht="18.75" customHeight="1" spans="1:1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 ht="18.75" customHeight="1" spans="1:1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 ht="18.75" customHeight="1" spans="1:1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 ht="18.75" customHeight="1" spans="1:1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 ht="18.75" customHeight="1" spans="1:1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 ht="18.75" customHeight="1" spans="1:1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 ht="18.75" customHeight="1" spans="1:1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 ht="18.75" customHeight="1" spans="1:1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 ht="18.75" customHeight="1" spans="1:1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 ht="18.75" customHeight="1" spans="1:1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 ht="18.75" customHeight="1" spans="1:1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 ht="18.75" customHeight="1" spans="1:1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 ht="18.75" customHeight="1" spans="1:1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 ht="18.75" customHeight="1" spans="1:1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 ht="18.75" customHeight="1" spans="1:1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 ht="18.75" customHeight="1" spans="1:1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 ht="18.75" customHeight="1" spans="1:1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 ht="18.75" customHeight="1" spans="1:1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 ht="18.75" customHeight="1" spans="1:1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 ht="18.75" customHeight="1" spans="1:1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 ht="18.75" customHeight="1" spans="1:1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 ht="18.75" customHeight="1" spans="1:1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 ht="18.75" customHeight="1" spans="1:1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 ht="18.75" customHeight="1" spans="1:1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 ht="18.75" customHeight="1" spans="1:1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 ht="18.75" customHeight="1" spans="1:1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 ht="18.75" customHeight="1" spans="1:1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 ht="18.75" customHeight="1" spans="1:1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 ht="18.75" customHeight="1" spans="1:1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 ht="18.75" customHeight="1" spans="1:1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 ht="18.75" customHeight="1" spans="1:1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 ht="18.75" customHeight="1" spans="1:1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 ht="18.75" customHeight="1" spans="1:1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 ht="18.75" customHeight="1" spans="1:1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 ht="18.75" customHeight="1" spans="1:1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 ht="18.75" customHeight="1" spans="1:1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 ht="18.75" customHeight="1" spans="1:1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 ht="18.75" customHeight="1" spans="1:1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 ht="18.75" customHeight="1" spans="1:1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 ht="18.75" customHeight="1" spans="1:1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 ht="18.75" customHeight="1" spans="1:1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 ht="18.75" customHeight="1" spans="1:1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 ht="18.75" customHeight="1" spans="1:1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 ht="18.75" customHeight="1" spans="1:1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 ht="18.75" customHeight="1" spans="1:1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 ht="18.75" customHeight="1" spans="1:1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 ht="18.75" customHeight="1" spans="1:1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 ht="18.75" customHeight="1" spans="1:1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 ht="18.75" customHeight="1" spans="1:1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 ht="18.75" customHeight="1" spans="1:1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 ht="18.75" customHeight="1" spans="1:1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 ht="18.75" customHeight="1" spans="1:1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 ht="18.75" customHeight="1" spans="1:1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 ht="18.75" customHeight="1" spans="1:1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 ht="18.75" customHeight="1" spans="1:1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 ht="18.75" customHeight="1" spans="1:1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 ht="18.75" customHeight="1" spans="1:1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 ht="18.75" customHeight="1" spans="1:1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 ht="18.75" customHeight="1" spans="1:1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 ht="18.75" customHeight="1" spans="1:1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 ht="18.75" customHeight="1" spans="1:1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 ht="18.75" customHeight="1" spans="1:1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 ht="18.75" customHeight="1" spans="1:1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 ht="18.75" customHeight="1" spans="1:1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 ht="18.75" customHeight="1" spans="1:1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 ht="18.75" customHeight="1" spans="1:1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 ht="18.75" customHeight="1" spans="1:1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 ht="18.75" customHeight="1" spans="1:1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 ht="18.75" customHeight="1" spans="1:1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 ht="18.75" customHeight="1" spans="1:1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 ht="18.75" customHeight="1" spans="1:1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 ht="18.75" customHeight="1" spans="1:1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 ht="18.75" customHeight="1" spans="1:1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 ht="18.75" customHeight="1" spans="1:1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 ht="18.75" customHeight="1" spans="1:1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 ht="18.75" customHeight="1" spans="1:1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 ht="18.75" customHeight="1" spans="1:1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 ht="18.75" customHeight="1" spans="1:1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 ht="18.75" customHeight="1" spans="1:1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 ht="18.75" customHeight="1" spans="1:1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 ht="18.75" customHeight="1" spans="1:1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 ht="18.75" customHeight="1" spans="1:1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 ht="18.75" customHeight="1" spans="1:1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 ht="18.75" customHeight="1" spans="1:1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 ht="18.75" customHeight="1" spans="1:1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 ht="18.75" customHeight="1" spans="1:1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 ht="18.75" customHeight="1" spans="1:1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 ht="18.75" customHeight="1" spans="1:1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 ht="18.75" customHeight="1" spans="1:1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 ht="18.75" customHeight="1" spans="1:1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 ht="18.75" customHeight="1" spans="1: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 ht="18.75" customHeight="1" spans="1:1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 ht="18.75" customHeight="1" spans="1:1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 ht="18.75" customHeight="1" spans="1:1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 ht="18.75" customHeight="1" spans="1:1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 ht="18.75" customHeight="1" spans="1:1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 ht="18.75" customHeight="1" spans="1:1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 ht="18.75" customHeight="1" spans="1:1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 ht="18.75" customHeight="1" spans="1:1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 ht="18.75" customHeight="1" spans="1:1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 ht="18.75" customHeight="1" spans="1:1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 ht="18.75" customHeight="1" spans="1:1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 ht="18.75" customHeight="1" spans="1:1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 ht="18.75" customHeight="1" spans="1:1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 ht="18.75" customHeight="1" spans="1:1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 ht="18.75" customHeight="1" spans="1:1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 ht="18.75" customHeight="1" spans="1:1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 ht="18.75" customHeight="1" spans="1:1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 ht="18.75" customHeight="1" spans="1:1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 ht="18.75" customHeight="1" spans="1:1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 ht="18.75" customHeight="1" spans="1:1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 ht="18.75" customHeight="1" spans="1:1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 ht="18.75" customHeight="1" spans="1:1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 ht="18.75" customHeight="1" spans="1:1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 ht="18.75" customHeight="1" spans="1:1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 ht="18.75" customHeight="1" spans="1:1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 ht="18.75" customHeight="1" spans="1:1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 ht="18.75" customHeight="1" spans="1:1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 ht="18.75" customHeight="1" spans="1:1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 ht="18.75" customHeight="1" spans="1:1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 ht="18.75" customHeight="1" spans="1:1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 ht="18.75" customHeight="1" spans="1:1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 ht="18.75" customHeight="1" spans="1:1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 ht="18.75" customHeight="1" spans="1:1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 ht="18.75" customHeight="1" spans="1:1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 ht="18.75" customHeight="1" spans="1:1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 ht="18.75" customHeight="1" spans="1:1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 ht="18.75" customHeight="1" spans="1:1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 ht="18.75" customHeight="1" spans="1:1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 ht="18.75" customHeight="1" spans="1:1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 ht="18.75" customHeight="1" spans="1:1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 ht="18.75" customHeight="1" spans="1:1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 ht="18.75" customHeight="1" spans="1:1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 ht="18.75" customHeight="1" spans="1:1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 ht="18.75" customHeight="1" spans="1:1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 ht="18.75" customHeight="1" spans="1:1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 ht="18.75" customHeight="1" spans="1:1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 ht="18.75" customHeight="1" spans="1:1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 ht="18.75" customHeight="1" spans="1:1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 ht="18.75" customHeight="1" spans="1:1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 ht="18.75" customHeight="1" spans="1:1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 ht="18.75" customHeight="1" spans="1:1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 ht="18.75" customHeight="1" spans="1:1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 ht="18.75" customHeight="1" spans="1:1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 ht="18.75" customHeight="1" spans="1:1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 ht="18.75" customHeight="1" spans="1:1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 ht="18.75" customHeight="1" spans="1:1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 ht="18.75" customHeight="1" spans="1:1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 ht="18.75" customHeight="1" spans="1:1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 ht="18.75" customHeight="1" spans="1:1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 ht="18.75" customHeight="1" spans="1:1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 ht="18.75" customHeight="1" spans="1:1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 ht="18.75" customHeight="1" spans="1:1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 ht="18.75" customHeight="1" spans="1:1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 ht="18.75" customHeight="1" spans="1:1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 ht="18.75" customHeight="1" spans="1:1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 ht="18.75" customHeight="1" spans="1:1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 ht="18.75" customHeight="1" spans="1:1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 ht="18.75" customHeight="1" spans="1:1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 ht="18.75" customHeight="1" spans="1:1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 ht="18.75" customHeight="1" spans="1:1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 ht="18.75" customHeight="1" spans="1:1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 ht="18.75" customHeight="1" spans="1:1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 ht="18.75" customHeight="1" spans="1:1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 ht="18.75" customHeight="1" spans="1:1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 ht="18.75" customHeight="1" spans="1:1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 ht="18.75" customHeight="1" spans="1:1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 ht="18.75" customHeight="1" spans="1:1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 ht="18.75" customHeight="1" spans="1:1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 ht="18.75" customHeight="1" spans="1:1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 ht="18.75" customHeight="1" spans="1:1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 ht="18.75" customHeight="1" spans="1:1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 ht="18.75" customHeight="1" spans="1:1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 ht="18.75" customHeight="1" spans="1:1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 ht="18.75" customHeight="1" spans="1:1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 ht="18.75" customHeight="1" spans="1:1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 ht="18.75" customHeight="1" spans="1:1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 ht="18.75" customHeight="1" spans="1:1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 ht="18.75" customHeight="1" spans="1:1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 ht="18.75" customHeight="1" spans="1:1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 ht="18.75" customHeight="1" spans="1:1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 ht="18.75" customHeight="1" spans="1:1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 ht="18.75" customHeight="1" spans="1:1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 ht="18.75" customHeight="1" spans="1:1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 ht="18.75" customHeight="1" spans="1:1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 ht="18.75" customHeight="1" spans="1:1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 ht="18.75" customHeight="1" spans="1:1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 ht="18.75" customHeight="1" spans="1:1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 ht="18.75" customHeight="1" spans="1:1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 ht="18.75" customHeight="1" spans="1:1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 ht="18.75" customHeight="1" spans="1: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 ht="18.75" customHeight="1" spans="1:1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 ht="18.75" customHeight="1" spans="1:1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 ht="18.75" customHeight="1" spans="1:1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 ht="18.75" customHeight="1" spans="1:1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 ht="18.75" customHeight="1" spans="1:1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 ht="18.75" customHeight="1" spans="1:1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 ht="18.75" customHeight="1" spans="1:1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 ht="18.75" customHeight="1" spans="1:1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 ht="18.75" customHeight="1" spans="1:1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 ht="18.75" customHeight="1" spans="1:1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 ht="18.75" customHeight="1" spans="1:1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 ht="18.75" customHeight="1" spans="1:1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 ht="18.75" customHeight="1" spans="1:1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 ht="18.75" customHeight="1" spans="1:1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 ht="18.75" customHeight="1" spans="1:1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 ht="18.75" customHeight="1" spans="1:1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 ht="18.75" customHeight="1" spans="1:1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 ht="18.75" customHeight="1" spans="1:1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 ht="18.75" customHeight="1" spans="1:1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 ht="18.75" customHeight="1" spans="1:1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 ht="18.75" customHeight="1" spans="1:1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 ht="18.75" customHeight="1" spans="1:1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 ht="18.75" customHeight="1" spans="1:1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 ht="18.75" customHeight="1" spans="1:1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 ht="18.75" customHeight="1" spans="1:1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 ht="18.75" customHeight="1" spans="1:1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 ht="18.75" customHeight="1" spans="1:1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 ht="18.75" customHeight="1" spans="1:1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 ht="18.75" customHeight="1" spans="1:1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 ht="18.75" customHeight="1" spans="1:1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 ht="18.75" customHeight="1" spans="1:1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 ht="18.75" customHeight="1" spans="1:1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 ht="18.75" customHeight="1" spans="1:1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 ht="18.75" customHeight="1" spans="1:1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 ht="18.75" customHeight="1" spans="1:1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 ht="18.75" customHeight="1" spans="1:1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 ht="18.75" customHeight="1" spans="1:1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 ht="18.75" customHeight="1" spans="1:1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 ht="18.75" customHeight="1" spans="1:1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 ht="18.75" customHeight="1" spans="1:1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 ht="18.75" customHeight="1" spans="1:1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 ht="18.75" customHeight="1" spans="1:1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 ht="18.75" customHeight="1" spans="1:1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 ht="18.75" customHeight="1" spans="1:1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 ht="18.75" customHeight="1" spans="1:1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 ht="18.75" customHeight="1" spans="1:1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 ht="18.75" customHeight="1" spans="1:1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 ht="18.75" customHeight="1" spans="1:1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 ht="18.75" customHeight="1" spans="1:1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 ht="18.75" customHeight="1" spans="1:1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 ht="18.75" customHeight="1" spans="1:1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 ht="18.75" customHeight="1" spans="1:1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 ht="18.75" customHeight="1" spans="1:1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 ht="18.75" customHeight="1" spans="1:1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 ht="18.75" customHeight="1" spans="1:1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 ht="18.75" customHeight="1" spans="1:1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 ht="18.75" customHeight="1" spans="1:1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 ht="18.75" customHeight="1" spans="1:1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 ht="18.75" customHeight="1" spans="1:1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 ht="18.75" customHeight="1" spans="1:1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 ht="18.75" customHeight="1" spans="1:1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 ht="18.75" customHeight="1" spans="1:1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 ht="18.75" customHeight="1" spans="1:1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 ht="18.75" customHeight="1" spans="1:1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 ht="18.75" customHeight="1" spans="1:1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 ht="18.75" customHeight="1" spans="1:1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 ht="18.75" customHeight="1" spans="1:1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 ht="18.75" customHeight="1" spans="1:1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 ht="18.75" customHeight="1" spans="1:1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 ht="18.75" customHeight="1" spans="1:1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 ht="18.75" customHeight="1" spans="1:1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 ht="18.75" customHeight="1" spans="1:1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 ht="18.75" customHeight="1" spans="1:1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 ht="18.75" customHeight="1" spans="1:1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 ht="18.75" customHeight="1" spans="1:1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 ht="18.75" customHeight="1" spans="1:1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 ht="18.75" customHeight="1" spans="1:1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 ht="18.75" customHeight="1" spans="1:1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 ht="18.75" customHeight="1" spans="1:1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 ht="18.75" customHeight="1" spans="1:1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 ht="18.75" customHeight="1" spans="1:1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 ht="18.75" customHeight="1" spans="1:1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 ht="18.75" customHeight="1" spans="1:1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 ht="18.75" customHeight="1" spans="1:1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 ht="18.75" customHeight="1" spans="1:1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 ht="18.75" customHeight="1" spans="1:1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  <row r="1001" ht="18.75" customHeight="1" spans="1:1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</row>
    <row r="1002" ht="18.75" customHeight="1" spans="1:1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</row>
    <row r="1003" ht="18.75" customHeight="1" spans="1:1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</row>
    <row r="1004" ht="18.75" customHeight="1" spans="1:1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</row>
    <row r="1005" ht="18.75" customHeight="1" spans="1:1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</row>
    <row r="1006" ht="18.75" customHeight="1" spans="1:1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</row>
    <row r="1007" ht="18.75" customHeight="1" spans="1:14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</row>
    <row r="1008" ht="18.75" customHeight="1" spans="1:14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</row>
    <row r="1009" ht="18.75" customHeight="1" spans="1:14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</row>
    <row r="1010" ht="18.75" customHeight="1" spans="1:14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</row>
    <row r="1011" ht="18.75" customHeight="1" spans="1:14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</row>
    <row r="1012" ht="18.75" customHeight="1" spans="1:14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</row>
    <row r="1013" ht="18.75" customHeight="1" spans="1:14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</row>
    <row r="1014" ht="18.75" customHeight="1" spans="1: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</row>
    <row r="1015" ht="18.75" customHeight="1" spans="1:14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</row>
    <row r="1016" ht="18.75" customHeight="1" spans="1:14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</row>
    <row r="1017" ht="18.75" customHeight="1" spans="1:14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</row>
    <row r="1018" ht="18.75" customHeight="1" spans="1:14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</row>
    <row r="1019" ht="18.75" customHeight="1" spans="1:14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</row>
    <row r="1020" ht="18.75" customHeight="1" spans="1:14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</row>
    <row r="1021" ht="18.75" customHeight="1" spans="1:14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</row>
    <row r="1022" ht="18.75" customHeight="1" spans="1:14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</row>
    <row r="1023" ht="18.75" customHeight="1" spans="1:14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</row>
    <row r="1024" ht="18.75" customHeight="1" spans="1:1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</row>
    <row r="1025" ht="18.75" customHeight="1" spans="1:14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</row>
    <row r="1026" ht="18.75" customHeight="1" spans="1:14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</row>
    <row r="1027" ht="18.75" customHeight="1" spans="1:14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</row>
    <row r="1028" ht="18.75" customHeight="1" spans="1:14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</row>
    <row r="1029" ht="18.75" customHeight="1" spans="1:14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</row>
  </sheetData>
  <mergeCells count="110">
    <mergeCell ref="A1:M1"/>
    <mergeCell ref="A4:I4"/>
    <mergeCell ref="A5:I5"/>
    <mergeCell ref="A6:I6"/>
    <mergeCell ref="A24:M24"/>
    <mergeCell ref="A27:I27"/>
    <mergeCell ref="A28:J28"/>
    <mergeCell ref="A29:I29"/>
    <mergeCell ref="A48:M48"/>
    <mergeCell ref="A51:J51"/>
    <mergeCell ref="A52:I52"/>
    <mergeCell ref="A53:I53"/>
    <mergeCell ref="A71:M71"/>
    <mergeCell ref="A74:J74"/>
    <mergeCell ref="A75:I75"/>
    <mergeCell ref="A76:I76"/>
    <mergeCell ref="A94:M94"/>
    <mergeCell ref="A97:J97"/>
    <mergeCell ref="A98:J98"/>
    <mergeCell ref="A99:I99"/>
    <mergeCell ref="A118:M118"/>
    <mergeCell ref="A121:J121"/>
    <mergeCell ref="A122:J122"/>
    <mergeCell ref="A123:I123"/>
    <mergeCell ref="A141:M141"/>
    <mergeCell ref="A144:J144"/>
    <mergeCell ref="A145:I145"/>
    <mergeCell ref="A146:I146"/>
    <mergeCell ref="A164:M164"/>
    <mergeCell ref="A167:J167"/>
    <mergeCell ref="A168:I168"/>
    <mergeCell ref="A169:I169"/>
    <mergeCell ref="A187:M187"/>
    <mergeCell ref="A190:J190"/>
    <mergeCell ref="A191:J191"/>
    <mergeCell ref="A192:I192"/>
    <mergeCell ref="A211:M211"/>
    <mergeCell ref="A214:J214"/>
    <mergeCell ref="A215:J215"/>
    <mergeCell ref="A216:I216"/>
    <mergeCell ref="A234:M234"/>
    <mergeCell ref="A237:J237"/>
    <mergeCell ref="A238:J238"/>
    <mergeCell ref="A239:I239"/>
    <mergeCell ref="A258:M258"/>
    <mergeCell ref="A261:J261"/>
    <mergeCell ref="A262:J262"/>
    <mergeCell ref="A263:I263"/>
    <mergeCell ref="A281:M281"/>
    <mergeCell ref="A284:J284"/>
    <mergeCell ref="A285:I285"/>
    <mergeCell ref="A286:I286"/>
    <mergeCell ref="A304:M304"/>
    <mergeCell ref="A307:J307"/>
    <mergeCell ref="A308:I308"/>
    <mergeCell ref="A309:I309"/>
    <mergeCell ref="A327:M327"/>
    <mergeCell ref="A330:J330"/>
    <mergeCell ref="A331:J331"/>
    <mergeCell ref="A332:I332"/>
    <mergeCell ref="A351:M351"/>
    <mergeCell ref="A354:J354"/>
    <mergeCell ref="A355:J355"/>
    <mergeCell ref="A356:I356"/>
    <mergeCell ref="A374:M374"/>
    <mergeCell ref="A377:J377"/>
    <mergeCell ref="A378:J378"/>
    <mergeCell ref="A379:I379"/>
    <mergeCell ref="A398:M398"/>
    <mergeCell ref="A401:J401"/>
    <mergeCell ref="A402:J402"/>
    <mergeCell ref="A403:I403"/>
    <mergeCell ref="A421:M421"/>
    <mergeCell ref="A424:J424"/>
    <mergeCell ref="A425:I425"/>
    <mergeCell ref="A426:I426"/>
    <mergeCell ref="A444:M444"/>
    <mergeCell ref="A447:J447"/>
    <mergeCell ref="A448:I448"/>
    <mergeCell ref="A449:I449"/>
    <mergeCell ref="A467:M467"/>
    <mergeCell ref="A470:J470"/>
    <mergeCell ref="A471:J471"/>
    <mergeCell ref="A472:I472"/>
    <mergeCell ref="A491:M491"/>
    <mergeCell ref="A494:J494"/>
    <mergeCell ref="A495:J495"/>
    <mergeCell ref="A496:I496"/>
    <mergeCell ref="K2:M4"/>
    <mergeCell ref="K25:M27"/>
    <mergeCell ref="K49:M51"/>
    <mergeCell ref="K72:M74"/>
    <mergeCell ref="K95:M97"/>
    <mergeCell ref="K119:M121"/>
    <mergeCell ref="K142:M144"/>
    <mergeCell ref="K165:M167"/>
    <mergeCell ref="K188:M190"/>
    <mergeCell ref="K212:M214"/>
    <mergeCell ref="K422:M424"/>
    <mergeCell ref="K445:M447"/>
    <mergeCell ref="K468:M470"/>
    <mergeCell ref="K235:M237"/>
    <mergeCell ref="K259:M261"/>
    <mergeCell ref="K282:M284"/>
    <mergeCell ref="K305:M307"/>
    <mergeCell ref="K328:M330"/>
    <mergeCell ref="K352:M354"/>
    <mergeCell ref="K375:M377"/>
    <mergeCell ref="K399:M401"/>
    <mergeCell ref="K492:M494"/>
  </mergeCells>
  <printOptions horizontalCentered="1" verticalCentered="1"/>
  <pageMargins left="0.25" right="0.25" top="0.75" bottom="0.75" header="0" footer="0"/>
  <pageSetup paperSize="9" orientation="landscape"/>
  <headerFooter/>
  <rowBreaks count="20" manualBreakCount="20">
    <brk id="23" max="0" man="1"/>
    <brk id="70" max="0" man="1"/>
    <brk id="93" max="0" man="1"/>
    <brk id="117" max="0" man="1"/>
    <brk id="140" max="0" man="1"/>
    <brk id="163" max="0" man="1"/>
    <brk id="186" max="0" man="1"/>
    <brk id="210" max="0" man="1"/>
    <brk id="233" max="0" man="1"/>
    <brk id="257" max="0" man="1"/>
    <brk id="280" max="0" man="1"/>
    <brk id="303" max="0" man="1"/>
    <brk id="326" max="0" man="1"/>
    <brk id="350" max="0" man="1"/>
    <brk id="373" max="0" man="1"/>
    <brk id="397" max="0" man="1"/>
    <brk id="420" max="0" man="1"/>
    <brk id="443" max="0" man="1"/>
    <brk id="466" max="0" man="1"/>
    <brk id="490" max="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5"/>
  <sheetViews>
    <sheetView workbookViewId="0">
      <selection activeCell="A1" sqref="A1:M1"/>
    </sheetView>
  </sheetViews>
  <sheetFormatPr defaultColWidth="14.4259259259259" defaultRowHeight="15" customHeight="1"/>
  <cols>
    <col min="1" max="1" width="22.4259259259259" customWidth="1"/>
    <col min="2" max="13" width="9.57407407407407" customWidth="1"/>
    <col min="14" max="14" width="8.71296296296296" customWidth="1"/>
  </cols>
  <sheetData>
    <row r="1" ht="19.5" customHeight="1" spans="1:14">
      <c r="A1" s="120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5"/>
    </row>
    <row r="2" ht="19.5" customHeight="1" spans="1:14">
      <c r="A2" s="35"/>
      <c r="B2" s="35"/>
      <c r="C2" s="35"/>
      <c r="D2" s="35"/>
      <c r="E2" s="35"/>
      <c r="F2" s="35"/>
      <c r="G2" s="35"/>
      <c r="H2" s="35"/>
      <c r="I2" s="35"/>
      <c r="J2" s="35"/>
      <c r="K2" s="83" t="s">
        <v>99</v>
      </c>
    </row>
    <row r="3" ht="19.5" customHeight="1" spans="1:14">
      <c r="A3" s="35"/>
      <c r="B3" s="35"/>
      <c r="C3" s="35"/>
      <c r="D3" s="35"/>
      <c r="E3" s="35"/>
      <c r="F3" s="35"/>
      <c r="G3" s="35"/>
      <c r="H3" s="35"/>
      <c r="I3" s="35"/>
      <c r="J3" s="35"/>
    </row>
    <row r="4" ht="19.5" customHeight="1" spans="1:14">
      <c r="A4" s="84" t="s">
        <v>100</v>
      </c>
      <c r="B4" s="35"/>
      <c r="C4" s="35"/>
      <c r="D4" s="35"/>
      <c r="E4" s="35"/>
      <c r="F4" s="35"/>
      <c r="G4" s="35"/>
      <c r="H4" s="35"/>
      <c r="I4" s="35"/>
      <c r="J4" s="35"/>
    </row>
    <row r="5" ht="19.5" customHeight="1" spans="1:14">
      <c r="A5" s="84" t="s">
        <v>101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ht="19.5" customHeight="1" spans="1:14">
      <c r="A6" s="84" t="s">
        <v>102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ht="27" customHeight="1" spans="1:14">
      <c r="A7" s="17"/>
      <c r="B7" s="86" t="s">
        <v>103</v>
      </c>
      <c r="C7" s="86" t="s">
        <v>104</v>
      </c>
      <c r="D7" s="86" t="s">
        <v>105</v>
      </c>
      <c r="E7" s="86" t="s">
        <v>106</v>
      </c>
      <c r="F7" s="86" t="s">
        <v>107</v>
      </c>
      <c r="G7" s="86" t="s">
        <v>108</v>
      </c>
      <c r="H7" s="86" t="s">
        <v>109</v>
      </c>
      <c r="I7" s="86" t="s">
        <v>110</v>
      </c>
      <c r="J7" s="86" t="s">
        <v>111</v>
      </c>
      <c r="K7" s="86" t="s">
        <v>112</v>
      </c>
      <c r="L7" s="86" t="s">
        <v>113</v>
      </c>
      <c r="M7" s="86" t="s">
        <v>114</v>
      </c>
    </row>
    <row r="8" ht="19.5" customHeight="1" spans="1:14">
      <c r="A8" s="87" t="s">
        <v>68</v>
      </c>
      <c r="B8" s="8">
        <f>'50 изоляция'!B8*0.9</f>
        <v>1796.85</v>
      </c>
      <c r="C8" s="8">
        <f>'50 изоляция'!C8*0.9</f>
        <v>1890.504</v>
      </c>
      <c r="D8" s="88">
        <f>'50 изоляция'!D8*0.9</f>
        <v>2074.545</v>
      </c>
      <c r="E8" s="8">
        <f>'50 изоляция'!E8*0.9</f>
        <v>2158.398</v>
      </c>
      <c r="F8" s="8">
        <f>'50 изоляция'!F8*0.9</f>
        <v>2368.575</v>
      </c>
      <c r="G8" s="88">
        <f>'50 изоляция'!G8*0.9</f>
        <v>2535.192</v>
      </c>
      <c r="H8" s="8">
        <f>'50 изоляция'!H8*0.9</f>
        <v>2695.275</v>
      </c>
      <c r="I8" s="8">
        <f>'50 изоляция'!I8*0.9</f>
        <v>2900.007</v>
      </c>
      <c r="J8" s="88">
        <f>'50 изоляция'!J8*0.9</f>
        <v>3278.979</v>
      </c>
      <c r="K8" s="8">
        <f>'50 изоляция'!K8*0.9</f>
        <v>3848.526</v>
      </c>
      <c r="L8" s="8">
        <f>'50 изоляция'!L8*0.9</f>
        <v>4190.472</v>
      </c>
      <c r="M8" s="8">
        <f>'50 изоляция'!M8*0.9</f>
        <v>4419.162</v>
      </c>
    </row>
    <row r="9" ht="19.5" customHeight="1" spans="1:14">
      <c r="A9" s="87" t="s">
        <v>18</v>
      </c>
      <c r="B9" s="8">
        <f>'50 изоляция'!B9*0.9</f>
        <v>1533.312</v>
      </c>
      <c r="C9" s="8">
        <f>'50 изоляция'!C9*0.9</f>
        <v>1633.5</v>
      </c>
      <c r="D9" s="88">
        <f>'50 изоляция'!D9*0.9</f>
        <v>1753.29</v>
      </c>
      <c r="E9" s="8">
        <f>'50 изоляция'!E9*0.9</f>
        <v>1897.038</v>
      </c>
      <c r="F9" s="8">
        <f>'50 изоляция'!F9*0.9</f>
        <v>2026.629</v>
      </c>
      <c r="G9" s="88">
        <f>'50 изоляция'!G9*0.9</f>
        <v>2128.995</v>
      </c>
      <c r="H9" s="8">
        <f>'50 изоляция'!H9*0.9</f>
        <v>2186.712</v>
      </c>
      <c r="I9" s="8">
        <f>'50 изоляция'!I9*0.9</f>
        <v>2334.816</v>
      </c>
      <c r="J9" s="88">
        <f>'50 изоляция'!J9*0.9</f>
        <v>2623.401</v>
      </c>
      <c r="K9" s="8">
        <f>'50 изоляция'!K9*0.9</f>
        <v>3055.734</v>
      </c>
      <c r="L9" s="8">
        <f>'50 изоляция'!L9*0.9</f>
        <v>3314.916</v>
      </c>
      <c r="M9" s="8">
        <f>'50 изоляция'!M9*0.9</f>
        <v>3488.067</v>
      </c>
    </row>
    <row r="10" ht="19.5" customHeight="1" spans="1:14">
      <c r="A10" s="87" t="s">
        <v>19</v>
      </c>
      <c r="B10" s="8">
        <f>'50 изоляция'!B10*0.9</f>
        <v>1256.706</v>
      </c>
      <c r="C10" s="8">
        <f>'50 изоляция'!C10*0.9</f>
        <v>1341.648</v>
      </c>
      <c r="D10" s="88">
        <f>'50 изоляция'!D10*0.9</f>
        <v>1429.857</v>
      </c>
      <c r="E10" s="8">
        <f>'50 изоляция'!E10*0.9</f>
        <v>1554.003</v>
      </c>
      <c r="F10" s="8">
        <f>'50 изоляция'!F10*0.9</f>
        <v>1640.034</v>
      </c>
      <c r="G10" s="88">
        <f>'50 изоляция'!G10*0.9</f>
        <v>1795.761</v>
      </c>
      <c r="H10" s="8">
        <f>'50 изоляция'!H10*0.9</f>
        <v>1834.965</v>
      </c>
      <c r="I10" s="8">
        <f>'50 изоляция'!I10*0.9</f>
        <v>1932.975</v>
      </c>
      <c r="J10" s="88">
        <f>'50 изоляция'!J10*0.9</f>
        <v>2132.262</v>
      </c>
      <c r="K10" s="8">
        <f>'50 изоляция'!K10*0.9</f>
        <v>2425.203</v>
      </c>
      <c r="L10" s="8">
        <f>'50 изоляция'!L10*0.9</f>
        <v>2600.532</v>
      </c>
      <c r="M10" s="8">
        <f>'50 изоляция'!M10*0.9</f>
        <v>2718.144</v>
      </c>
    </row>
    <row r="11" ht="19.5" customHeight="1" spans="1:14">
      <c r="A11" s="87" t="s">
        <v>20</v>
      </c>
      <c r="B11" s="8">
        <f>'50 изоляция'!B11*0.9</f>
        <v>1042.173</v>
      </c>
      <c r="C11" s="8">
        <f>'50 изоляция'!C11*0.9</f>
        <v>1149.984</v>
      </c>
      <c r="D11" s="88">
        <f>'50 изоляция'!D11*0.9</f>
        <v>1213.146</v>
      </c>
      <c r="E11" s="8">
        <f>'50 изоляция'!E11*0.9</f>
        <v>1253.439</v>
      </c>
      <c r="F11" s="8">
        <f>'50 изоляция'!F11*0.9</f>
        <v>1369.962</v>
      </c>
      <c r="G11" s="88">
        <f>'50 изоляция'!G11*0.9</f>
        <v>1436.391</v>
      </c>
      <c r="H11" s="8">
        <f>'50 изоляция'!H11*0.9</f>
        <v>1465.794</v>
      </c>
      <c r="I11" s="8">
        <f>'50 изоляция'!I11*0.9</f>
        <v>1573.605</v>
      </c>
      <c r="J11" s="88">
        <f>'50 изоляция'!J11*0.9</f>
        <v>1720.62</v>
      </c>
      <c r="K11" s="8">
        <f>'50 изоляция'!K11*0.9</f>
        <v>2106.126</v>
      </c>
      <c r="L11" s="8">
        <f>'50 изоляция'!L11*0.9</f>
        <v>2289.078</v>
      </c>
      <c r="M11" s="8">
        <f>'50 изоляция'!M11*0.9</f>
        <v>2399.067</v>
      </c>
    </row>
    <row r="12" ht="19.5" customHeight="1" spans="1:14">
      <c r="A12" s="87" t="s">
        <v>21</v>
      </c>
      <c r="B12" s="8">
        <f>'50 изоляция'!B12*0.9</f>
        <v>894.069</v>
      </c>
      <c r="C12" s="8">
        <f>'50 изоляция'!C12*0.9</f>
        <v>932.184</v>
      </c>
      <c r="D12" s="88">
        <f>'50 изоляция'!D12*0.9</f>
        <v>974.655</v>
      </c>
      <c r="E12" s="8">
        <f>'50 изоляция'!E12*0.9</f>
        <v>1002.969</v>
      </c>
      <c r="F12" s="8">
        <f>'50 изоляция'!F12*0.9</f>
        <v>1084.644</v>
      </c>
      <c r="G12" s="88">
        <f>'50 изоляция'!G12*0.9</f>
        <v>1218.591</v>
      </c>
      <c r="H12" s="8">
        <f>'50 изоляция'!H12*0.9</f>
        <v>1238.193</v>
      </c>
      <c r="I12" s="8">
        <f>'50 изоляция'!I12*0.9</f>
        <v>1312.245</v>
      </c>
      <c r="J12" s="88">
        <f>'50 изоляция'!J12*0.9</f>
        <v>1475.595</v>
      </c>
      <c r="K12" s="8">
        <f>'50 изоляция'!K12*0.9</f>
        <v>1697.751</v>
      </c>
      <c r="L12" s="8">
        <f>'50 изоляция'!L12*0.9</f>
        <v>1831.698</v>
      </c>
      <c r="M12" s="8">
        <f>'50 изоляция'!M12*0.9</f>
        <v>1911.195</v>
      </c>
    </row>
    <row r="13" ht="19.5" customHeight="1" spans="1:14">
      <c r="A13" s="87" t="s">
        <v>22</v>
      </c>
      <c r="B13" s="8">
        <f>'50 изоляция'!B13*0.9</f>
        <v>749.232</v>
      </c>
      <c r="C13" s="8">
        <f>'50 изоляция'!C13*0.9</f>
        <v>791.703</v>
      </c>
      <c r="D13" s="88">
        <f>'50 изоляция'!D13*0.9</f>
        <v>816.75</v>
      </c>
      <c r="E13" s="8">
        <f>'50 изоляция'!E13*0.9</f>
        <v>835.263</v>
      </c>
      <c r="F13" s="8">
        <f>'50 изоляция'!F13*0.9</f>
        <v>884.268</v>
      </c>
      <c r="G13" s="88">
        <f>'50 изоляция'!G13*0.9</f>
        <v>921.294</v>
      </c>
      <c r="H13" s="8">
        <f>'50 изоляция'!H13*0.9</f>
        <v>933.273</v>
      </c>
      <c r="I13" s="8">
        <f>'50 изоляция'!I13*0.9</f>
        <v>979.011</v>
      </c>
      <c r="J13" s="88">
        <f>'50 изоляция'!J13*0.9</f>
        <v>1083.555</v>
      </c>
      <c r="K13" s="8">
        <f>'50 изоляция'!K13*0.9</f>
        <v>1218.591</v>
      </c>
      <c r="L13" s="8">
        <f>'50 изоляция'!L13*0.9</f>
        <v>1300.266</v>
      </c>
      <c r="M13" s="8">
        <f>'50 изоляция'!M13*0.9</f>
        <v>1348.182</v>
      </c>
    </row>
    <row r="14" ht="19.5" customHeight="1" spans="1:14">
      <c r="A14" s="87" t="s">
        <v>23</v>
      </c>
      <c r="B14" s="8">
        <f>'50 изоляция'!B14*0.9</f>
        <v>2066.922</v>
      </c>
      <c r="C14" s="8">
        <f>'50 изоляция'!C14*0.9</f>
        <v>2186.712</v>
      </c>
      <c r="D14" s="88">
        <f>'50 изоляция'!D14*0.9</f>
        <v>2307.591</v>
      </c>
      <c r="E14" s="8">
        <f>'50 изоляция'!E14*0.9</f>
        <v>2436.093</v>
      </c>
      <c r="F14" s="8">
        <f>'50 изоляция'!F14*0.9</f>
        <v>2477.475</v>
      </c>
      <c r="G14" s="88">
        <f>'50 изоляция'!G14*0.9</f>
        <v>2599.443</v>
      </c>
      <c r="H14" s="8">
        <f>'50 изоляция'!H14*0.9</f>
        <v>2818.332</v>
      </c>
      <c r="I14" s="8">
        <f>'50 изоляция'!I14*0.9</f>
        <v>3145.032</v>
      </c>
      <c r="J14" s="88">
        <f>'50 изоляция'!J14*0.9</f>
        <v>3703.689</v>
      </c>
      <c r="K14" s="8">
        <f>'50 изоляция'!K14*0.9</f>
        <v>4538.952</v>
      </c>
      <c r="L14" s="8">
        <f>'50 изоляция'!L14*0.9</f>
        <v>5039.892</v>
      </c>
      <c r="M14" s="8">
        <f>'50 изоляция'!M14*0.9</f>
        <v>5373.126</v>
      </c>
    </row>
    <row r="15" ht="19.5" customHeight="1" spans="1:14">
      <c r="A15" s="87" t="s">
        <v>24</v>
      </c>
      <c r="B15" s="8">
        <f>'50 изоляция'!B15*0.9</f>
        <v>1903.572</v>
      </c>
      <c r="C15" s="8">
        <f>'50 изоляция'!C15*0.9</f>
        <v>2023.362</v>
      </c>
      <c r="D15" s="88">
        <f>'50 изоляция'!D15*0.9</f>
        <v>2144.241</v>
      </c>
      <c r="E15" s="8">
        <f>'50 изоляция'!E15*0.9</f>
        <v>2272.743</v>
      </c>
      <c r="F15" s="8">
        <f>'50 изоляция'!F15*0.9</f>
        <v>2314.125</v>
      </c>
      <c r="G15" s="88">
        <f>'50 изоляция'!G15*0.9</f>
        <v>2436.093</v>
      </c>
      <c r="H15" s="8">
        <f>'50 изоляция'!H15*0.9</f>
        <v>2654.982</v>
      </c>
      <c r="I15" s="8">
        <f>'50 изоляция'!I15*0.9</f>
        <v>2981.682</v>
      </c>
      <c r="J15" s="88">
        <f>'50 изоляция'!J15*0.9</f>
        <v>3540.339</v>
      </c>
      <c r="K15" s="8">
        <f>'50 изоляция'!K15*0.9</f>
        <v>4375.602</v>
      </c>
      <c r="L15" s="8">
        <f>'50 изоляция'!L15*0.9</f>
        <v>4876.542</v>
      </c>
      <c r="M15" s="8">
        <f>'50 изоляция'!M15*0.9</f>
        <v>5209.776</v>
      </c>
    </row>
    <row r="16" ht="19.5" customHeight="1" spans="1:14">
      <c r="A16" s="87" t="s">
        <v>26</v>
      </c>
      <c r="B16" s="8">
        <f>'50 изоляция'!B16*0.9</f>
        <v>3146.121</v>
      </c>
      <c r="C16" s="8">
        <f>'50 изоляция'!C16*0.9</f>
        <v>3269.178</v>
      </c>
      <c r="D16" s="88">
        <f>'50 изоляция'!D16*0.9</f>
        <v>3456.486</v>
      </c>
      <c r="E16" s="8">
        <f>'50 изоляция'!E16*0.9</f>
        <v>3563.208</v>
      </c>
      <c r="F16" s="8">
        <f>'50 изоляция'!F16*0.9</f>
        <v>3713.49</v>
      </c>
      <c r="G16" s="88">
        <f>'50 изоляция'!G16*0.9</f>
        <v>3970.494</v>
      </c>
      <c r="H16" s="8">
        <f>'50 изоляция'!H16*0.9</f>
        <v>4201.362</v>
      </c>
      <c r="I16" s="8">
        <f>'50 изоляция'!I16*0.9</f>
        <v>4689.234</v>
      </c>
      <c r="J16" s="88">
        <f>'50 изоляция'!J16*0.9</f>
        <v>5010.489</v>
      </c>
      <c r="K16" s="8">
        <f>'50 изоляция'!K16*0.9</f>
        <v>6186.609</v>
      </c>
      <c r="L16" s="8">
        <f>'50 изоляция'!L16*0.9</f>
        <v>6892.281</v>
      </c>
      <c r="M16" s="8">
        <f>'50 изоляция'!M16*0.9</f>
        <v>7362.729</v>
      </c>
    </row>
    <row r="17" ht="19.5" customHeight="1" spans="1:14">
      <c r="A17" s="87" t="s">
        <v>27</v>
      </c>
      <c r="B17" s="8">
        <f>'50 изоляция'!B17*0.9</f>
        <v>3821.301</v>
      </c>
      <c r="C17" s="8">
        <f>'50 изоляция'!C17*0.9</f>
        <v>3926.934</v>
      </c>
      <c r="D17" s="88">
        <f>'50 изоляция'!D17*0.9</f>
        <v>4095.729</v>
      </c>
      <c r="E17" s="8">
        <f>'50 изоляция'!E17*0.9</f>
        <v>4468.167</v>
      </c>
      <c r="F17" s="8">
        <f>'50 изоляция'!F17*0.9</f>
        <v>4608.648</v>
      </c>
      <c r="G17" s="88">
        <f>'50 изоляция'!G17*0.9</f>
        <v>5113.944</v>
      </c>
      <c r="H17" s="8">
        <f>'50 изоляция'!H17*0.9</f>
        <v>5533.209</v>
      </c>
      <c r="I17" s="8">
        <f>'50 изоляция'!I17*0.9</f>
        <v>6019.992</v>
      </c>
      <c r="J17" s="88">
        <f>'50 изоляция'!J17*0.9</f>
        <v>7027.317</v>
      </c>
      <c r="K17" s="8">
        <f>'50 изоляция'!K17*0.9</f>
        <v>8231.751</v>
      </c>
      <c r="L17" s="8">
        <f>'50 изоляция'!L17*0.9</f>
        <v>8954.847</v>
      </c>
      <c r="M17" s="8">
        <f>'50 изоляция'!M17*0.9</f>
        <v>9388.269</v>
      </c>
    </row>
    <row r="18" ht="19.5" customHeight="1" spans="1:14">
      <c r="A18" s="87" t="s">
        <v>70</v>
      </c>
      <c r="B18" s="8">
        <f>'50 изоляция'!B18*0.9</f>
        <v>7097.013</v>
      </c>
      <c r="C18" s="8">
        <f>'50 изоляция'!C18*0.9</f>
        <v>7318.08</v>
      </c>
      <c r="D18" s="88">
        <f>'50 изоляция'!D18*0.9</f>
        <v>7504.299</v>
      </c>
      <c r="E18" s="8">
        <f>'50 изоляция'!E18*0.9</f>
        <v>7712.298</v>
      </c>
      <c r="F18" s="8">
        <f>'50 изоляция'!F18*0.9</f>
        <v>7947.522</v>
      </c>
      <c r="G18" s="88">
        <f>'50 изоляция'!G18*0.9</f>
        <v>8480.043</v>
      </c>
      <c r="H18" s="8">
        <f>'50 изоляция'!H18*0.9</f>
        <v>8763.183</v>
      </c>
      <c r="I18" s="8">
        <f>'50 изоляция'!I18*0.9</f>
        <v>9371.934</v>
      </c>
      <c r="J18" s="88">
        <f>'50 изоляция'!J18*0.9</f>
        <v>10511.028</v>
      </c>
      <c r="K18" s="8">
        <f>'50 изоляция'!K18*0.9</f>
        <v>12393.909</v>
      </c>
      <c r="L18" s="8">
        <f>'50 изоляция'!L18*0.9</f>
        <v>13524.291</v>
      </c>
      <c r="M18" s="8">
        <f>'50 изоляция'!M18*0.9</f>
        <v>8330.85</v>
      </c>
    </row>
    <row r="19" ht="19.5" customHeight="1" spans="1:14">
      <c r="A19" s="87" t="s">
        <v>71</v>
      </c>
      <c r="B19" s="8">
        <f>'50 изоляция'!B19*0.9</f>
        <v>860.31</v>
      </c>
      <c r="C19" s="8">
        <f>'50 изоляция'!C19*0.9</f>
        <v>877.734</v>
      </c>
      <c r="D19" s="88">
        <f>'50 изоляция'!D19*0.9</f>
        <v>940.896</v>
      </c>
      <c r="E19" s="8">
        <f>'50 изоляция'!E19*0.9</f>
        <v>1043.262</v>
      </c>
      <c r="F19" s="8">
        <f>'50 изоляция'!F19*0.9</f>
        <v>1120.581</v>
      </c>
      <c r="G19" s="88">
        <f>'50 изоляция'!G19*0.9</f>
        <v>1188.099</v>
      </c>
      <c r="H19" s="8">
        <f>'50 изоляция'!H19*0.9</f>
        <v>1290.465</v>
      </c>
      <c r="I19" s="8">
        <f>'50 изоляция'!I19*0.9</f>
        <v>1332.936</v>
      </c>
      <c r="J19" s="88">
        <f>'50 изоляция'!J19*0.9</f>
        <v>1489.752</v>
      </c>
      <c r="K19" s="8">
        <f>'50 изоляция'!K19*0.9</f>
        <v>1705.374</v>
      </c>
      <c r="L19" s="8">
        <f>'50 изоляция'!L19*0.9</f>
        <v>1833.876</v>
      </c>
      <c r="M19" s="8">
        <f>'50 изоляция'!M19*0.9</f>
        <v>1910.106</v>
      </c>
    </row>
    <row r="20" ht="19.5" customHeight="1" spans="1:14">
      <c r="A20" s="87" t="s">
        <v>72</v>
      </c>
      <c r="B20" s="8">
        <f>'50 изоляция'!B20*0.9</f>
        <v>2403.423</v>
      </c>
      <c r="C20" s="8">
        <f>'50 изоляция'!C20*0.9</f>
        <v>2475.297</v>
      </c>
      <c r="D20" s="88">
        <f>'50 изоляция'!D20*0.9</f>
        <v>2505.789</v>
      </c>
      <c r="E20" s="8">
        <f>'50 изоляция'!E20*0.9</f>
        <v>2602.71</v>
      </c>
      <c r="F20" s="8">
        <f>'50 изоляция'!F20*0.9</f>
        <v>2687.652</v>
      </c>
      <c r="G20" s="88">
        <f>'50 изоляция'!G20*0.9</f>
        <v>2893.473</v>
      </c>
      <c r="H20" s="8">
        <f>'50 изоляция'!H20*0.9</f>
        <v>2989.305</v>
      </c>
      <c r="I20" s="8">
        <f>'50 изоляция'!I20*0.9</f>
        <v>3198.393</v>
      </c>
      <c r="J20" s="88">
        <f>'50 изоляция'!J20*0.9</f>
        <v>3590.433</v>
      </c>
      <c r="K20" s="8">
        <f>'50 изоляция'!K20*0.9</f>
        <v>4330.953</v>
      </c>
      <c r="L20" s="8">
        <f>'50 изоляция'!L20*0.9</f>
        <v>4775.265</v>
      </c>
      <c r="M20" s="8">
        <f>'50 изоляция'!M20*0.9</f>
        <v>5043.159</v>
      </c>
    </row>
    <row r="21" ht="19.5" customHeight="1" spans="1:14">
      <c r="A21" s="87" t="s">
        <v>73</v>
      </c>
      <c r="B21" s="8">
        <f>'50 изоляция'!B21*0.9</f>
        <v>967.032</v>
      </c>
      <c r="C21" s="8">
        <f>'50 изоляция'!C21*0.9</f>
        <v>998.613</v>
      </c>
      <c r="D21" s="88">
        <f>'50 изоляция'!D21*0.9</f>
        <v>1057.419</v>
      </c>
      <c r="E21" s="8">
        <f>'50 изоляция'!E21*0.9</f>
        <v>1170.675</v>
      </c>
      <c r="F21" s="8">
        <f>'50 изоляция'!F21*0.9</f>
        <v>1217.502</v>
      </c>
      <c r="G21" s="88">
        <f>'50 изоляция'!G21*0.9</f>
        <v>1356.894</v>
      </c>
      <c r="H21" s="8">
        <f>'50 изоляция'!H21*0.9</f>
        <v>1481.04</v>
      </c>
      <c r="I21" s="8">
        <f>'50 изоляция'!I21*0.9</f>
        <v>1695.573</v>
      </c>
      <c r="J21" s="88">
        <f>'50 изоляция'!J21*0.9</f>
        <v>1834.965</v>
      </c>
      <c r="K21" s="8">
        <f>'50 изоляция'!K21*0.9</f>
        <v>2171.466</v>
      </c>
      <c r="L21" s="8">
        <f>'50 изоляция'!L21*0.9</f>
        <v>2374.02</v>
      </c>
      <c r="M21" s="8">
        <f>'50 изоляция'!M21*0.9</f>
        <v>2495.988</v>
      </c>
    </row>
    <row r="22" ht="19.5" customHeight="1" spans="1:14">
      <c r="A22" s="87" t="s">
        <v>74</v>
      </c>
      <c r="B22" s="8">
        <f>'50 изоляция'!B22*0.9</f>
        <v>1274.13</v>
      </c>
      <c r="C22" s="8">
        <f>'50 изоляция'!C22*0.9</f>
        <v>1317.69</v>
      </c>
      <c r="D22" s="88">
        <f>'50 изоляция'!D22*0.9</f>
        <v>1472.328</v>
      </c>
      <c r="E22" s="8">
        <f>'50 изоляция'!E22*0.9</f>
        <v>1509.354</v>
      </c>
      <c r="F22" s="8">
        <f>'50 изоляция'!F22*0.9</f>
        <v>1611.72</v>
      </c>
      <c r="G22" s="88">
        <f>'50 изоляция'!G22*0.9</f>
        <v>1857.834</v>
      </c>
      <c r="H22" s="8">
        <f>'50 изоляция'!H22*0.9</f>
        <v>1950.399</v>
      </c>
      <c r="I22" s="8">
        <f>'50 изоляция'!I22*0.9</f>
        <v>2142.063</v>
      </c>
      <c r="J22" s="88">
        <f>'50 изоляция'!J22*0.9</f>
        <v>2296.701</v>
      </c>
      <c r="K22" s="8">
        <f>'50 изоляция'!K22*0.9</f>
        <v>2795.463</v>
      </c>
      <c r="L22" s="8">
        <f>'50 изоляция'!L22*0.9</f>
        <v>3094.938</v>
      </c>
      <c r="M22" s="8">
        <f>'50 изоляция'!M22*0.9</f>
        <v>3274.623</v>
      </c>
    </row>
    <row r="23" ht="19.5" customHeight="1" spans="1:14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 ht="19.5" customHeight="1" spans="1:14">
      <c r="A24" s="120" t="s">
        <v>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5"/>
    </row>
    <row r="25" ht="19.5" customHeight="1" spans="1:14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83" t="s">
        <v>99</v>
      </c>
    </row>
    <row r="26" ht="19.5" customHeight="1" spans="1:14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ht="19.5" customHeight="1" spans="1:14">
      <c r="A27" s="84" t="s">
        <v>115</v>
      </c>
      <c r="J27" s="35"/>
    </row>
    <row r="28" ht="19.5" customHeight="1" spans="1:14">
      <c r="A28" s="84" t="s">
        <v>89</v>
      </c>
      <c r="J28" s="35"/>
      <c r="K28" s="35"/>
      <c r="L28" s="35"/>
      <c r="M28" s="35"/>
    </row>
    <row r="29" ht="19.5" customHeight="1" spans="1:14">
      <c r="A29" s="84" t="s">
        <v>102</v>
      </c>
      <c r="J29" s="35"/>
      <c r="K29" s="35"/>
      <c r="L29" s="35"/>
      <c r="M29" s="35"/>
    </row>
    <row r="30" ht="27" customHeight="1" spans="1:14">
      <c r="A30" s="17"/>
      <c r="B30" s="86" t="s">
        <v>103</v>
      </c>
      <c r="C30" s="86" t="s">
        <v>104</v>
      </c>
      <c r="D30" s="86" t="s">
        <v>105</v>
      </c>
      <c r="E30" s="86" t="s">
        <v>106</v>
      </c>
      <c r="F30" s="86" t="s">
        <v>107</v>
      </c>
      <c r="G30" s="86" t="s">
        <v>108</v>
      </c>
      <c r="H30" s="86" t="s">
        <v>109</v>
      </c>
      <c r="I30" s="86" t="s">
        <v>110</v>
      </c>
      <c r="J30" s="86" t="s">
        <v>111</v>
      </c>
      <c r="K30" s="86" t="s">
        <v>112</v>
      </c>
      <c r="L30" s="86" t="s">
        <v>113</v>
      </c>
      <c r="M30" s="86" t="s">
        <v>114</v>
      </c>
    </row>
    <row r="31" ht="19.5" customHeight="1" spans="1:14">
      <c r="A31" s="89" t="s">
        <v>68</v>
      </c>
      <c r="B31" s="8">
        <f>'50 изоляция'!B31*0.9</f>
        <v>2353.2795</v>
      </c>
      <c r="C31" s="8">
        <f>'50 изоляция'!C31*0.9</f>
        <v>2393.127</v>
      </c>
      <c r="D31" s="88">
        <f>'50 изоляция'!D31*0.9</f>
        <v>2563.902</v>
      </c>
      <c r="E31" s="8">
        <f>'50 изоляция'!E31*0.9</f>
        <v>2772.2475</v>
      </c>
      <c r="F31" s="8">
        <f>'50 изоляция'!F31*0.9</f>
        <v>2988.5625</v>
      </c>
      <c r="G31" s="88">
        <f>'50 изоляция'!G31*0.9</f>
        <v>3117.213</v>
      </c>
      <c r="H31" s="8">
        <f>'50 изоляция'!H31*0.9</f>
        <v>3268.6335</v>
      </c>
      <c r="I31" s="8">
        <f>'50 изоляция'!I31*0.9</f>
        <v>3586.275</v>
      </c>
      <c r="J31" s="88">
        <f>'50 изоляция'!J31*0.9</f>
        <v>3927.825</v>
      </c>
      <c r="K31" s="8">
        <f>'50 изоляция'!K31*0.9</f>
        <v>4781.7</v>
      </c>
      <c r="L31" s="8">
        <f>'50 изоляция'!L31*0.9</f>
        <v>5294.025</v>
      </c>
      <c r="M31" s="8">
        <f>'50 изоляция'!M31*0.9</f>
        <v>5635.575</v>
      </c>
    </row>
    <row r="32" ht="19.5" customHeight="1" spans="1:14">
      <c r="A32" s="89" t="s">
        <v>18</v>
      </c>
      <c r="B32" s="8">
        <f>'50 изоляция'!B32*0.9</f>
        <v>1928.619</v>
      </c>
      <c r="C32" s="8">
        <f>'50 изоляция'!C32*0.9</f>
        <v>2075.4855</v>
      </c>
      <c r="D32" s="88">
        <f>'50 изоляция'!D32*0.9</f>
        <v>2253.0915</v>
      </c>
      <c r="E32" s="8">
        <f>'50 изоляция'!E32*0.9</f>
        <v>2410.2045</v>
      </c>
      <c r="F32" s="8">
        <f>'50 изоляция'!F32*0.9</f>
        <v>2553.6555</v>
      </c>
      <c r="G32" s="88">
        <f>'50 изоляция'!G32*0.9</f>
        <v>2676.6135</v>
      </c>
      <c r="H32" s="8">
        <f>'50 изоляция'!H32*0.9</f>
        <v>2829.1725</v>
      </c>
      <c r="I32" s="8">
        <f>'50 изоляция'!I32*0.9</f>
        <v>3232.2015</v>
      </c>
      <c r="J32" s="88">
        <f>'50 изоляция'!J32*0.9</f>
        <v>3326.697</v>
      </c>
      <c r="K32" s="8">
        <f>'50 изоляция'!K32*0.9</f>
        <v>4098.6</v>
      </c>
      <c r="L32" s="8">
        <f>'50 изоляция'!L32*0.9</f>
        <v>4457.2275</v>
      </c>
      <c r="M32" s="8">
        <f>'50 изоляция'!M32*0.9</f>
        <v>4716.8055</v>
      </c>
    </row>
    <row r="33" ht="19.5" customHeight="1" spans="1:14">
      <c r="A33" s="89" t="s">
        <v>19</v>
      </c>
      <c r="B33" s="8">
        <f>'50 изоляция'!B33*0.9</f>
        <v>1502.82</v>
      </c>
      <c r="C33" s="8">
        <f>'50 изоляция'!C33*0.9</f>
        <v>1629.1935</v>
      </c>
      <c r="D33" s="88">
        <f>'50 изоляция'!D33*0.9</f>
        <v>1776.06</v>
      </c>
      <c r="E33" s="8">
        <f>'50 изоляция'!E33*0.9</f>
        <v>1909.2645</v>
      </c>
      <c r="F33" s="8">
        <f>'50 изоляция'!F33*0.9</f>
        <v>2090.286</v>
      </c>
      <c r="G33" s="88">
        <f>'50 изоляция'!G33*0.9</f>
        <v>2220.075</v>
      </c>
      <c r="H33" s="8">
        <f>'50 изоляция'!H33*0.9</f>
        <v>2307.7395</v>
      </c>
      <c r="I33" s="8">
        <f>'50 изоляция'!I33*0.9</f>
        <v>2506.977</v>
      </c>
      <c r="J33" s="88">
        <f>'50 изоляция'!J33*0.9</f>
        <v>2732.4</v>
      </c>
      <c r="K33" s="8">
        <f>'50 изоляция'!K33*0.9</f>
        <v>3330.1125</v>
      </c>
      <c r="L33" s="8">
        <f>'50 изоляция'!L33*0.9</f>
        <v>3688.74</v>
      </c>
      <c r="M33" s="8">
        <f>'50 изоляция'!M33*0.9</f>
        <v>3927.825</v>
      </c>
    </row>
    <row r="34" ht="19.5" customHeight="1" spans="1:14">
      <c r="A34" s="89" t="s">
        <v>20</v>
      </c>
      <c r="B34" s="8">
        <f>'50 изоляция'!B34*0.9</f>
        <v>1247.796</v>
      </c>
      <c r="C34" s="8">
        <f>'50 изоляция'!C34*0.9</f>
        <v>1361.646</v>
      </c>
      <c r="D34" s="88">
        <f>'50 изоляция'!D34*0.9</f>
        <v>1489.158</v>
      </c>
      <c r="E34" s="8">
        <f>'50 изоляция'!E34*0.9</f>
        <v>1608.7005</v>
      </c>
      <c r="F34" s="8">
        <f>'50 изоляция'!F34*0.9</f>
        <v>1733.9355</v>
      </c>
      <c r="G34" s="88">
        <f>'50 изоляция'!G34*0.9</f>
        <v>1793.1375</v>
      </c>
      <c r="H34" s="8">
        <f>'50 изоляция'!H34*0.9</f>
        <v>1885.356</v>
      </c>
      <c r="I34" s="8">
        <f>'50 изоляция'!I34*0.9</f>
        <v>2019.699</v>
      </c>
      <c r="J34" s="88">
        <f>'50 изоляция'!J34*0.9</f>
        <v>2220.075</v>
      </c>
      <c r="K34" s="8">
        <f>'50 изоляция'!K34*0.9</f>
        <v>2674.3365</v>
      </c>
      <c r="L34" s="8">
        <f>'50 изоляция'!L34*0.9</f>
        <v>2946.438</v>
      </c>
      <c r="M34" s="8">
        <f>'50 изоляция'!M34*0.9</f>
        <v>3128.598</v>
      </c>
    </row>
    <row r="35" ht="19.5" customHeight="1" spans="1:14">
      <c r="A35" s="89" t="s">
        <v>21</v>
      </c>
      <c r="B35" s="8">
        <f>'50 изоляция'!B35*0.9</f>
        <v>1184.04</v>
      </c>
      <c r="C35" s="8">
        <f>'50 изоляция'!C35*0.9</f>
        <v>1197.702</v>
      </c>
      <c r="D35" s="88">
        <f>'50 изоляция'!D35*0.9</f>
        <v>1248.9345</v>
      </c>
      <c r="E35" s="8">
        <f>'50 изоляция'!E35*0.9</f>
        <v>1286.505</v>
      </c>
      <c r="F35" s="8">
        <f>'50 изоляция'!F35*0.9</f>
        <v>1382.139</v>
      </c>
      <c r="G35" s="88">
        <f>'50 изоляция'!G35*0.9</f>
        <v>1449.3105</v>
      </c>
      <c r="H35" s="8">
        <f>'50 изоляция'!H35*0.9</f>
        <v>1477.773</v>
      </c>
      <c r="I35" s="8">
        <f>'50 изоляция'!I35*0.9</f>
        <v>1573.407</v>
      </c>
      <c r="J35" s="88">
        <f>'50 изоляция'!J35*0.9</f>
        <v>1781.7525</v>
      </c>
      <c r="K35" s="8">
        <f>'50 изоляция'!K35*0.9</f>
        <v>2051.577</v>
      </c>
      <c r="L35" s="8">
        <f>'50 изоляция'!L35*0.9</f>
        <v>2212.1055</v>
      </c>
      <c r="M35" s="8">
        <f>'50 изоляция'!M35*0.9</f>
        <v>2320.263</v>
      </c>
    </row>
    <row r="36" ht="19.5" customHeight="1" spans="1:14">
      <c r="A36" s="89" t="s">
        <v>22</v>
      </c>
      <c r="B36" s="8">
        <f>'50 изоляция'!B36*0.9</f>
        <v>902.8305</v>
      </c>
      <c r="C36" s="8">
        <f>'50 изоляция'!C36*0.9</f>
        <v>910.8</v>
      </c>
      <c r="D36" s="88">
        <f>'50 изоляция'!D36*0.9</f>
        <v>941.5395</v>
      </c>
      <c r="E36" s="8">
        <f>'50 изоляция'!E36*0.9</f>
        <v>963.171</v>
      </c>
      <c r="F36" s="8">
        <f>'50 изоляция'!F36*0.9</f>
        <v>1018.9575</v>
      </c>
      <c r="G36" s="88">
        <f>'50 изоляция'!G36*0.9</f>
        <v>1065.636</v>
      </c>
      <c r="H36" s="8">
        <f>'50 изоляция'!H36*0.9</f>
        <v>1082.7135</v>
      </c>
      <c r="I36" s="8">
        <f>'50 изоляция'!I36*0.9</f>
        <v>1214.7795</v>
      </c>
      <c r="J36" s="88">
        <f>'50 изоляция'!J36*0.9</f>
        <v>1345.707</v>
      </c>
      <c r="K36" s="8">
        <f>'50 изоляция'!K36*0.9</f>
        <v>1511.928</v>
      </c>
      <c r="L36" s="8">
        <f>'50 изоляция'!L36*0.9</f>
        <v>1610.9775</v>
      </c>
      <c r="M36" s="8">
        <f>'50 изоляция'!M36*0.9</f>
        <v>1677.0105</v>
      </c>
    </row>
    <row r="37" ht="19.5" customHeight="1" spans="1:14">
      <c r="A37" s="89" t="s">
        <v>23</v>
      </c>
      <c r="B37" s="8">
        <f>'50 изоляция'!B37*0.9</f>
        <v>2662.9515</v>
      </c>
      <c r="C37" s="8">
        <f>'50 изоляция'!C37*0.9</f>
        <v>2879.2665</v>
      </c>
      <c r="D37" s="88">
        <f>'50 изоляция'!D37*0.9</f>
        <v>3011.3325</v>
      </c>
      <c r="E37" s="8">
        <f>'50 изоляция'!E37*0.9</f>
        <v>3323.2815</v>
      </c>
      <c r="F37" s="8">
        <f>'50 изоляция'!F37*0.9</f>
        <v>3540.735</v>
      </c>
      <c r="G37" s="88">
        <f>'50 изоляция'!G37*0.9</f>
        <v>3763.881</v>
      </c>
      <c r="H37" s="8">
        <f>'50 изоляция'!H37*0.9</f>
        <v>3977.919</v>
      </c>
      <c r="I37" s="8">
        <f>'50 изоляция'!I37*0.9</f>
        <v>4460.643</v>
      </c>
      <c r="J37" s="88">
        <f>'50 изоляция'!J37*0.9</f>
        <v>4954.752</v>
      </c>
      <c r="K37" s="8">
        <f>'50 изоляция'!K37*0.9</f>
        <v>6212.7945</v>
      </c>
      <c r="L37" s="8">
        <f>'50 изоляция'!L37*0.9</f>
        <v>6848.0775</v>
      </c>
      <c r="M37" s="8">
        <f>'50 изоляция'!M37*0.9</f>
        <v>7174.827</v>
      </c>
    </row>
    <row r="38" ht="19.5" customHeight="1" spans="1:14">
      <c r="A38" s="89" t="s">
        <v>24</v>
      </c>
      <c r="B38" s="8">
        <f>'50 изоляция'!B38*0.9</f>
        <v>2492.1765</v>
      </c>
      <c r="C38" s="8">
        <f>'50 изоляция'!C38*0.9</f>
        <v>2708.4915</v>
      </c>
      <c r="D38" s="88">
        <f>'50 изоляция'!D38*0.9</f>
        <v>2840.5575</v>
      </c>
      <c r="E38" s="8">
        <f>'50 изоляция'!E38*0.9</f>
        <v>3152.5065</v>
      </c>
      <c r="F38" s="8">
        <f>'50 изоляция'!F38*0.9</f>
        <v>3308.481</v>
      </c>
      <c r="G38" s="88">
        <f>'50 изоляция'!G38*0.9</f>
        <v>3593.106</v>
      </c>
      <c r="H38" s="8">
        <f>'50 изоляция'!H38*0.9</f>
        <v>3807.144</v>
      </c>
      <c r="I38" s="8">
        <f>'50 изоляция'!I38*0.9</f>
        <v>4289.868</v>
      </c>
      <c r="J38" s="88">
        <f>'50 изоляция'!J38*0.9</f>
        <v>4783.977</v>
      </c>
      <c r="K38" s="8">
        <f>'50 изоляция'!K38*0.9</f>
        <v>6042.0195</v>
      </c>
      <c r="L38" s="8">
        <f>'50 изоляция'!L38*0.9</f>
        <v>6677.3025</v>
      </c>
      <c r="M38" s="8">
        <f>'50 изоляция'!M38*0.9</f>
        <v>7004.052</v>
      </c>
    </row>
    <row r="39" ht="19.5" customHeight="1" spans="1:14">
      <c r="A39" s="89" t="s">
        <v>26</v>
      </c>
      <c r="B39" s="8">
        <f>'50 изоляция'!B39*0.9</f>
        <v>3406.392</v>
      </c>
      <c r="C39" s="8">
        <f>'50 изоляция'!C39*0.9</f>
        <v>3636.369</v>
      </c>
      <c r="D39" s="88">
        <f>'50 изоляция'!D39*0.9</f>
        <v>3932.379</v>
      </c>
      <c r="E39" s="8">
        <f>'50 изоляция'!E39*0.9</f>
        <v>4148.694</v>
      </c>
      <c r="F39" s="8">
        <f>'50 изоляция'!F39*0.9</f>
        <v>4199.9265</v>
      </c>
      <c r="G39" s="88">
        <f>'50 изоляция'!G39*0.9</f>
        <v>4483.413</v>
      </c>
      <c r="H39" s="8">
        <f>'50 изоляция'!H39*0.9</f>
        <v>4735.0215</v>
      </c>
      <c r="I39" s="8">
        <f>'50 изоляция'!I39*0.9</f>
        <v>5296.302</v>
      </c>
      <c r="J39" s="88">
        <f>'50 изоляция'!J39*0.9</f>
        <v>5719.824</v>
      </c>
      <c r="K39" s="8">
        <f>'50 изоляция'!K39*0.9</f>
        <v>7024.545</v>
      </c>
      <c r="L39" s="8">
        <f>'50 изоляция'!L39*0.9</f>
        <v>7806.6945</v>
      </c>
      <c r="M39" s="8">
        <f>'50 изоляция'!M39*0.9</f>
        <v>8329.266</v>
      </c>
    </row>
    <row r="40" ht="19.5" customHeight="1" spans="1:14">
      <c r="A40" s="89" t="s">
        <v>27</v>
      </c>
      <c r="B40" s="8">
        <f>'50 изоляция'!B40*0.9</f>
        <v>4317.192</v>
      </c>
      <c r="C40" s="8">
        <f>'50 изоляция'!C40*0.9</f>
        <v>4538.061</v>
      </c>
      <c r="D40" s="88">
        <f>'50 изоляция'!D40*0.9</f>
        <v>4741.8525</v>
      </c>
      <c r="E40" s="8">
        <f>'50 изоляция'!E40*0.9</f>
        <v>5079.987</v>
      </c>
      <c r="F40" s="8">
        <f>'50 изоляция'!F40*0.9</f>
        <v>5345.2575</v>
      </c>
      <c r="G40" s="88">
        <f>'50 изоляция'!G40*0.9</f>
        <v>5928.1695</v>
      </c>
      <c r="H40" s="8">
        <f>'50 изоляция'!H40*0.9</f>
        <v>6572.5605</v>
      </c>
      <c r="I40" s="8">
        <f>'50 изоляция'!I40*0.9</f>
        <v>7239.7215</v>
      </c>
      <c r="J40" s="88">
        <f>'50 изоляция'!J40*0.9</f>
        <v>8301.942</v>
      </c>
      <c r="K40" s="8">
        <f>'50 изоляция'!K40*0.9</f>
        <v>9804.762</v>
      </c>
      <c r="L40" s="8">
        <f>'50 изоляция'!L40*0.9</f>
        <v>10706.454</v>
      </c>
      <c r="M40" s="8">
        <f>'50 изоляция'!M40*0.9</f>
        <v>11248.38</v>
      </c>
    </row>
    <row r="41" ht="19.5" customHeight="1" spans="1:14">
      <c r="A41" s="89" t="s">
        <v>70</v>
      </c>
      <c r="B41" s="8">
        <f>'50 изоляция'!B41*0.9</f>
        <v>7810.11</v>
      </c>
      <c r="C41" s="8">
        <f>'50 изоляция'!C41*0.9</f>
        <v>8073.1035</v>
      </c>
      <c r="D41" s="88">
        <f>'50 изоляция'!D41*0.9</f>
        <v>8298.5265</v>
      </c>
      <c r="E41" s="8">
        <f>'50 изоляция'!E41*0.9</f>
        <v>8547.858</v>
      </c>
      <c r="F41" s="8">
        <f>'50 изоляция'!F41*0.9</f>
        <v>8826.7905</v>
      </c>
      <c r="G41" s="88">
        <f>'50 изоляция'!G41*0.9</f>
        <v>9440.442</v>
      </c>
      <c r="H41" s="8">
        <f>'50 изоляция'!H41*0.9</f>
        <v>9771.7455</v>
      </c>
      <c r="I41" s="8">
        <f>'50 изоляция'!I41*0.9</f>
        <v>10485.585</v>
      </c>
      <c r="J41" s="88">
        <f>'50 изоляция'!J41*0.9</f>
        <v>11785.752</v>
      </c>
      <c r="K41" s="8">
        <f>'50 изоляция'!K41*0.9</f>
        <v>14019.489</v>
      </c>
      <c r="L41" s="8">
        <f>'50 изоляция'!L41*0.9</f>
        <v>15360.642</v>
      </c>
      <c r="M41" s="8">
        <f>'50 изоляция'!M41*0.9</f>
        <v>16293.0735</v>
      </c>
    </row>
    <row r="42" ht="19.5" customHeight="1" spans="1:14">
      <c r="A42" s="89" t="s">
        <v>71</v>
      </c>
      <c r="B42" s="8">
        <f>'50 изоляция'!B42*0.9</f>
        <v>999.603</v>
      </c>
      <c r="C42" s="8">
        <f>'50 изоляция'!C42*0.9</f>
        <v>1020.096</v>
      </c>
      <c r="D42" s="88">
        <f>'50 изоляция'!D42*0.9</f>
        <v>1092.96</v>
      </c>
      <c r="E42" s="8">
        <f>'50 изоляция'!E42*0.9</f>
        <v>1211.364</v>
      </c>
      <c r="F42" s="8">
        <f>'50 изоляция'!F42*0.9</f>
        <v>1301.3055</v>
      </c>
      <c r="G42" s="88">
        <f>'50 изоляция'!G42*0.9</f>
        <v>1381.0005</v>
      </c>
      <c r="H42" s="8">
        <f>'50 изоляция'!H42*0.9</f>
        <v>1499.4045</v>
      </c>
      <c r="I42" s="8">
        <f>'50 изоляция'!I42*0.9</f>
        <v>1548.36</v>
      </c>
      <c r="J42" s="88">
        <f>'50 изоляция'!J42*0.9</f>
        <v>1730.52</v>
      </c>
      <c r="K42" s="8">
        <f>'50 изоляция'!K42*0.9</f>
        <v>1979.8515</v>
      </c>
      <c r="L42" s="8">
        <f>'50 изоляция'!L42*0.9</f>
        <v>2128.995</v>
      </c>
      <c r="M42" s="8">
        <f>'50 изоляция'!M42*0.9</f>
        <v>2220.075</v>
      </c>
    </row>
    <row r="43" ht="19.5" customHeight="1" spans="1:14">
      <c r="A43" s="89" t="s">
        <v>72</v>
      </c>
      <c r="B43" s="8">
        <f>'50 изоляция'!B43*0.9</f>
        <v>2623.104</v>
      </c>
      <c r="C43" s="8">
        <f>'50 изоляция'!C43*0.9</f>
        <v>2703.9375</v>
      </c>
      <c r="D43" s="88">
        <f>'50 изоляция'!D43*0.9</f>
        <v>2741.508</v>
      </c>
      <c r="E43" s="8">
        <f>'50 изоляция'!E43*0.9</f>
        <v>2847.3885</v>
      </c>
      <c r="F43" s="8">
        <f>'50 изоляция'!F43*0.9</f>
        <v>2943.0225</v>
      </c>
      <c r="G43" s="88">
        <f>'50 изоляция'!G43*0.9</f>
        <v>3168.4455</v>
      </c>
      <c r="H43" s="8">
        <f>'50 изоляция'!H43*0.9</f>
        <v>3274.326</v>
      </c>
      <c r="I43" s="8">
        <f>'50 изоляция'!I43*0.9</f>
        <v>3504.303</v>
      </c>
      <c r="J43" s="88">
        <f>'50 изоляция'!J43*0.9</f>
        <v>3931.2405</v>
      </c>
      <c r="K43" s="8">
        <f>'50 изоляция'!K43*0.9</f>
        <v>4742.991</v>
      </c>
      <c r="L43" s="8">
        <f>'50 изоляция'!L43*0.9</f>
        <v>5229.1305</v>
      </c>
      <c r="M43" s="8">
        <f>'50 изоляция'!M43*0.9</f>
        <v>5521.725</v>
      </c>
    </row>
    <row r="44" ht="19.5" customHeight="1" spans="1:14">
      <c r="A44" s="89" t="s">
        <v>73</v>
      </c>
      <c r="B44" s="8">
        <f>'50 изоляция'!B44*0.9</f>
        <v>1133.946</v>
      </c>
      <c r="C44" s="8">
        <f>'50 изоляция'!C44*0.9</f>
        <v>1181.763</v>
      </c>
      <c r="D44" s="88">
        <f>'50 изоляция'!D44*0.9</f>
        <v>1264.8735</v>
      </c>
      <c r="E44" s="8">
        <f>'50 изоляция'!E44*0.9</f>
        <v>1334.322</v>
      </c>
      <c r="F44" s="8">
        <f>'50 изоляция'!F44*0.9</f>
        <v>1384.416</v>
      </c>
      <c r="G44" s="88">
        <f>'50 изоляция'!G44*0.9</f>
        <v>1551.7755</v>
      </c>
      <c r="H44" s="8">
        <f>'50 изоляция'!H44*0.9</f>
        <v>1661.0715</v>
      </c>
      <c r="I44" s="8">
        <f>'50 изоляция'!I44*0.9</f>
        <v>1934.3115</v>
      </c>
      <c r="J44" s="88">
        <f>'50 изоляция'!J44*0.9</f>
        <v>2098.2555</v>
      </c>
      <c r="K44" s="8">
        <f>'50 изоляция'!K44*0.9</f>
        <v>2574.1485</v>
      </c>
      <c r="L44" s="8">
        <f>'50 изоляция'!L44*0.9</f>
        <v>2858.7735</v>
      </c>
      <c r="M44" s="8">
        <f>'50 изоляция'!M44*0.9</f>
        <v>3030.687</v>
      </c>
    </row>
    <row r="45" ht="19.5" customHeight="1" spans="1:14">
      <c r="A45" s="89" t="s">
        <v>74</v>
      </c>
      <c r="B45" s="8">
        <f>'50 изоляция'!B45*0.9</f>
        <v>1432.233</v>
      </c>
      <c r="C45" s="8">
        <f>'50 изоляция'!C45*0.9</f>
        <v>1502.82</v>
      </c>
      <c r="D45" s="88">
        <f>'50 изоляция'!D45*0.9</f>
        <v>1603.008</v>
      </c>
      <c r="E45" s="8">
        <f>'50 изоляция'!E45*0.9</f>
        <v>1659.933</v>
      </c>
      <c r="F45" s="8">
        <f>'50 изоляция'!F45*0.9</f>
        <v>1749.8745</v>
      </c>
      <c r="G45" s="88">
        <f>'50 изоляция'!G45*0.9</f>
        <v>2037.915</v>
      </c>
      <c r="H45" s="8">
        <f>'50 изоляция'!H45*0.9</f>
        <v>2174.535</v>
      </c>
      <c r="I45" s="8">
        <f>'50 изоляция'!I45*0.9</f>
        <v>2412.4815</v>
      </c>
      <c r="J45" s="88">
        <f>'50 изоляция'!J45*0.9</f>
        <v>2690.2755</v>
      </c>
      <c r="K45" s="8">
        <f>'50 изоляция'!K45*0.9</f>
        <v>3229.9245</v>
      </c>
      <c r="L45" s="8">
        <f>'50 изоляция'!L45*0.9</f>
        <v>3553.2585</v>
      </c>
      <c r="M45" s="8">
        <f>'50 изоляция'!M45*0.9</f>
        <v>3652.515</v>
      </c>
    </row>
    <row r="46" ht="19.5" customHeight="1" spans="1:14">
      <c r="A46" s="90" t="s">
        <v>77</v>
      </c>
      <c r="B46" s="8">
        <f>'50 изоляция'!B46*0.9</f>
        <v>1889.91</v>
      </c>
      <c r="C46" s="8">
        <f>'50 изоляция'!C46*0.9</f>
        <v>1940.004</v>
      </c>
      <c r="D46" s="88">
        <f>'50 изоляция'!D46*0.9</f>
        <v>2097.117</v>
      </c>
      <c r="E46" s="8">
        <f>'50 изоляция'!E46*0.9</f>
        <v>2277</v>
      </c>
      <c r="F46" s="8">
        <f>'50 изоляция'!F46*0.9</f>
        <v>2413.62</v>
      </c>
      <c r="G46" s="88">
        <f>'50 изоляция'!G46*0.9</f>
        <v>2588.949</v>
      </c>
      <c r="H46" s="8">
        <f>'50 изоляция'!H46*0.9</f>
        <v>2771.109</v>
      </c>
      <c r="I46" s="8">
        <f>'50 изоляция'!I46*0.9</f>
        <v>3050.0415</v>
      </c>
      <c r="J46" s="88">
        <f>'50 изоляция'!J46*0.9</f>
        <v>3360.852</v>
      </c>
      <c r="K46" s="8">
        <f>'50 изоляция'!K46*0.9</f>
        <v>3597.66</v>
      </c>
      <c r="L46" s="8">
        <f>'50 изоляция'!L46*0.9</f>
        <v>3630.6765</v>
      </c>
      <c r="M46" s="8">
        <f>'50 изоляция'!M46*0.9</f>
        <v>3746.7</v>
      </c>
      <c r="N46" s="15"/>
    </row>
    <row r="47" ht="19.5" customHeight="1" spans="1:14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15"/>
    </row>
    <row r="48" ht="19.5" customHeight="1" spans="1:14">
      <c r="A48" s="120" t="s">
        <v>35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5"/>
    </row>
    <row r="49" ht="19.5" customHeight="1" spans="1:1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83" t="s">
        <v>99</v>
      </c>
    </row>
    <row r="50" ht="19.5" customHeight="1" spans="1:13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ht="19.5" customHeight="1" spans="1:13">
      <c r="A51" s="84" t="s">
        <v>116</v>
      </c>
      <c r="J51" s="35"/>
    </row>
    <row r="52" ht="19.5" customHeight="1" spans="1:13">
      <c r="A52" s="84" t="s">
        <v>87</v>
      </c>
      <c r="J52" s="35"/>
      <c r="K52" s="35"/>
      <c r="L52" s="35"/>
      <c r="M52" s="35"/>
    </row>
    <row r="53" ht="19.5" customHeight="1" spans="1:13">
      <c r="A53" s="84" t="s">
        <v>102</v>
      </c>
      <c r="J53" s="35"/>
      <c r="K53" s="35"/>
      <c r="L53" s="35"/>
      <c r="M53" s="35"/>
    </row>
    <row r="54" ht="27" customHeight="1" spans="1:13">
      <c r="A54" s="17"/>
      <c r="B54" s="86" t="s">
        <v>103</v>
      </c>
      <c r="C54" s="86" t="s">
        <v>104</v>
      </c>
      <c r="D54" s="86" t="s">
        <v>105</v>
      </c>
      <c r="E54" s="86" t="s">
        <v>106</v>
      </c>
      <c r="F54" s="86" t="s">
        <v>107</v>
      </c>
      <c r="G54" s="86" t="s">
        <v>108</v>
      </c>
      <c r="H54" s="86" t="s">
        <v>109</v>
      </c>
      <c r="I54" s="86" t="s">
        <v>110</v>
      </c>
      <c r="J54" s="86" t="s">
        <v>111</v>
      </c>
      <c r="K54" s="86" t="s">
        <v>112</v>
      </c>
      <c r="L54" s="86" t="s">
        <v>113</v>
      </c>
      <c r="M54" s="86" t="s">
        <v>114</v>
      </c>
    </row>
    <row r="55" ht="19.5" customHeight="1" spans="1:13">
      <c r="A55" s="89" t="s">
        <v>68</v>
      </c>
      <c r="B55" s="8">
        <f>'50 изоляция'!B55*0.9</f>
        <v>2036.43</v>
      </c>
      <c r="C55" s="8">
        <f>'50 изоляция'!C55*0.9</f>
        <v>2175.822</v>
      </c>
      <c r="D55" s="88">
        <f>'50 изоляция'!D55*0.9</f>
        <v>2351.151</v>
      </c>
      <c r="E55" s="8">
        <f>'50 изоляция'!E55*0.9</f>
        <v>2445.894</v>
      </c>
      <c r="F55" s="8">
        <f>'50 изоляция'!F55*0.9</f>
        <v>2684.385</v>
      </c>
      <c r="G55" s="88">
        <f>'50 изоляция'!G55*0.9</f>
        <v>2872.782</v>
      </c>
      <c r="H55" s="8">
        <f>'50 изоляция'!H55*0.9</f>
        <v>3054.645</v>
      </c>
      <c r="I55" s="8">
        <f>'50 изоляция'!I55*0.9</f>
        <v>3286.602</v>
      </c>
      <c r="J55" s="88">
        <f>'50 изоляция'!J55*0.9</f>
        <v>3715.668</v>
      </c>
      <c r="K55" s="8">
        <f>'50 изоляция'!K55*0.9</f>
        <v>4361.445</v>
      </c>
      <c r="L55" s="8">
        <f>'50 изоляция'!L55*0.9</f>
        <v>4749.129</v>
      </c>
      <c r="M55" s="8">
        <f>'50 изоляция'!M55*0.9</f>
        <v>5008.311</v>
      </c>
    </row>
    <row r="56" ht="19.5" customHeight="1" spans="1:13">
      <c r="A56" s="89" t="s">
        <v>18</v>
      </c>
      <c r="B56" s="8">
        <f>'50 изоляция'!B56*0.9</f>
        <v>1736.955</v>
      </c>
      <c r="C56" s="8">
        <f>'50 изоляция'!C56*0.9</f>
        <v>1851.3</v>
      </c>
      <c r="D56" s="88">
        <f>'50 изоляция'!D56*0.9</f>
        <v>1986.336</v>
      </c>
      <c r="E56" s="8">
        <f>'50 изоляция'!E56*0.9</f>
        <v>2149.686</v>
      </c>
      <c r="F56" s="8">
        <f>'50 изоляция'!F56*0.9</f>
        <v>2296.701</v>
      </c>
      <c r="G56" s="88">
        <f>'50 изоляция'!G56*0.9</f>
        <v>2413.224</v>
      </c>
      <c r="H56" s="8">
        <f>'50 изоляция'!H56*0.9</f>
        <v>2477.475</v>
      </c>
      <c r="I56" s="8">
        <f>'50 изоляция'!I56*0.9</f>
        <v>2646.27</v>
      </c>
      <c r="J56" s="88">
        <f>'50 изоляция'!J56*0.9</f>
        <v>2972.97</v>
      </c>
      <c r="K56" s="8">
        <f>'50 изоляция'!K56*0.9</f>
        <v>3463.02</v>
      </c>
      <c r="L56" s="8">
        <f>'50 изоляция'!L56*0.9</f>
        <v>3755.961</v>
      </c>
      <c r="M56" s="8">
        <f>'50 изоляция'!M56*0.9</f>
        <v>3953.07</v>
      </c>
    </row>
    <row r="57" ht="19.5" customHeight="1" spans="1:13">
      <c r="A57" s="89" t="s">
        <v>19</v>
      </c>
      <c r="B57" s="8">
        <f>'50 изоляция'!B57*0.9</f>
        <v>1424.412</v>
      </c>
      <c r="C57" s="8">
        <f>'50 изоляция'!C57*0.9</f>
        <v>1521.333</v>
      </c>
      <c r="D57" s="88">
        <f>'50 изоляция'!D57*0.9</f>
        <v>1620.432</v>
      </c>
      <c r="E57" s="8">
        <f>'50 изоляция'!E57*0.9</f>
        <v>1760.913</v>
      </c>
      <c r="F57" s="8">
        <f>'50 изоляция'!F57*0.9</f>
        <v>1858.923</v>
      </c>
      <c r="G57" s="88">
        <f>'50 изоляция'!G57*0.9</f>
        <v>2035.341</v>
      </c>
      <c r="H57" s="8">
        <f>'50 изоляция'!H57*0.9</f>
        <v>2078.901</v>
      </c>
      <c r="I57" s="8">
        <f>'50 изоляция'!I57*0.9</f>
        <v>2191.068</v>
      </c>
      <c r="J57" s="88">
        <f>'50 изоляция'!J57*0.9</f>
        <v>2416.491</v>
      </c>
      <c r="K57" s="8">
        <f>'50 изоляция'!K57*0.9</f>
        <v>2748.636</v>
      </c>
      <c r="L57" s="8">
        <f>'50 изоляция'!L57*0.9</f>
        <v>2946.834</v>
      </c>
      <c r="M57" s="8">
        <f>'50 изоляция'!M57*0.9</f>
        <v>3080.781</v>
      </c>
    </row>
    <row r="58" ht="19.5" customHeight="1" spans="1:13">
      <c r="A58" s="89" t="s">
        <v>20</v>
      </c>
      <c r="B58" s="8">
        <f>'50 изоляция'!B58*0.9</f>
        <v>1181.565</v>
      </c>
      <c r="C58" s="8">
        <f>'50 изоляция'!C58*0.9</f>
        <v>1303.533</v>
      </c>
      <c r="D58" s="88">
        <f>'50 изоляция'!D58*0.9</f>
        <v>1374.318</v>
      </c>
      <c r="E58" s="8">
        <f>'50 изоляция'!E58*0.9</f>
        <v>1421.145</v>
      </c>
      <c r="F58" s="8">
        <f>'50 изоляция'!F58*0.9</f>
        <v>1551.825</v>
      </c>
      <c r="G58" s="88">
        <f>'50 изоляция'!G58*0.9</f>
        <v>1626.966</v>
      </c>
      <c r="H58" s="8">
        <f>'50 изоляция'!H58*0.9</f>
        <v>1660.725</v>
      </c>
      <c r="I58" s="8">
        <f>'50 изоляция'!I58*0.9</f>
        <v>1783.782</v>
      </c>
      <c r="J58" s="88">
        <f>'50 изоляция'!J58*0.9</f>
        <v>1949.31</v>
      </c>
      <c r="K58" s="8">
        <f>'50 изоляция'!K58*0.9</f>
        <v>2387.088</v>
      </c>
      <c r="L58" s="8">
        <f>'50 изоляция'!L58*0.9</f>
        <v>2595.087</v>
      </c>
      <c r="M58" s="8">
        <f>'50 изоляция'!M58*0.9</f>
        <v>2718.144</v>
      </c>
    </row>
    <row r="59" ht="19.5" customHeight="1" spans="1:13">
      <c r="A59" s="89" t="s">
        <v>21</v>
      </c>
      <c r="B59" s="8">
        <f>'50 изоляция'!B59*0.9</f>
        <v>949.608</v>
      </c>
      <c r="C59" s="8">
        <f>'50 изоляция'!C59*0.9</f>
        <v>1056.33</v>
      </c>
      <c r="D59" s="88">
        <f>'50 изоляция'!D59*0.9</f>
        <v>1104.246</v>
      </c>
      <c r="E59" s="8">
        <f>'50 изоляция'!E59*0.9</f>
        <v>1136.916</v>
      </c>
      <c r="F59" s="8">
        <f>'50 изоляция'!F59*0.9</f>
        <v>1229.481</v>
      </c>
      <c r="G59" s="88">
        <f>'50 изоляция'!G59*0.9</f>
        <v>1380.852</v>
      </c>
      <c r="H59" s="8">
        <f>'50 изоляция'!H59*0.9</f>
        <v>1403.721</v>
      </c>
      <c r="I59" s="8">
        <f>'50 изоляция'!I59*0.9</f>
        <v>1487.574</v>
      </c>
      <c r="J59" s="88">
        <f>'50 изоляция'!J59*0.9</f>
        <v>1672.704</v>
      </c>
      <c r="K59" s="8">
        <f>'50 изоляция'!K59*0.9</f>
        <v>1924.263</v>
      </c>
      <c r="L59" s="8">
        <f>'50 изоляция'!L59*0.9</f>
        <v>2075.634</v>
      </c>
      <c r="M59" s="8">
        <f>'50 изоляция'!M59*0.9</f>
        <v>2166.021</v>
      </c>
    </row>
    <row r="60" ht="19.5" customHeight="1" spans="1:13">
      <c r="A60" s="89" t="s">
        <v>22</v>
      </c>
      <c r="B60" s="8">
        <f>'50 изоляция'!B60*0.9</f>
        <v>796.059</v>
      </c>
      <c r="C60" s="8">
        <f>'50 изоляция'!C60*0.9</f>
        <v>897.336</v>
      </c>
      <c r="D60" s="88">
        <f>'50 изоляция'!D60*0.9</f>
        <v>925.65</v>
      </c>
      <c r="E60" s="8">
        <f>'50 изоляция'!E60*0.9</f>
        <v>946.341</v>
      </c>
      <c r="F60" s="8">
        <f>'50 изоляция'!F60*0.9</f>
        <v>1001.88</v>
      </c>
      <c r="G60" s="88">
        <f>'50 изоляция'!G60*0.9</f>
        <v>1044.351</v>
      </c>
      <c r="H60" s="8">
        <f>'50 изоляция'!H60*0.9</f>
        <v>1058.508</v>
      </c>
      <c r="I60" s="8">
        <f>'50 изоляция'!I60*0.9</f>
        <v>1108.602</v>
      </c>
      <c r="J60" s="88">
        <f>'50 изоляция'!J60*0.9</f>
        <v>1227.303</v>
      </c>
      <c r="K60" s="8">
        <f>'50 изоляция'!K60*0.9</f>
        <v>1380.852</v>
      </c>
      <c r="L60" s="8">
        <f>'50 изоляция'!L60*0.9</f>
        <v>1473.417</v>
      </c>
      <c r="M60" s="8">
        <f>'50 изоляция'!M60*0.9</f>
        <v>1527.867</v>
      </c>
    </row>
    <row r="61" ht="19.5" customHeight="1" spans="1:13">
      <c r="A61" s="89" t="s">
        <v>23</v>
      </c>
      <c r="B61" s="8">
        <f>'50 изоляция'!B61*0.9</f>
        <v>2342.439</v>
      </c>
      <c r="C61" s="8">
        <f>'50 изоляция'!C61*0.9</f>
        <v>2477.475</v>
      </c>
      <c r="D61" s="88">
        <f>'50 изоляция'!D61*0.9</f>
        <v>2614.689</v>
      </c>
      <c r="E61" s="8">
        <f>'50 изоляция'!E61*0.9</f>
        <v>2761.704</v>
      </c>
      <c r="F61" s="8">
        <f>'50 изоляция'!F61*0.9</f>
        <v>2807.442</v>
      </c>
      <c r="G61" s="88">
        <f>'50 изоляция'!G61*0.9</f>
        <v>2946.834</v>
      </c>
      <c r="H61" s="8">
        <f>'50 изоляция'!H61*0.9</f>
        <v>3194.037</v>
      </c>
      <c r="I61" s="8">
        <f>'50 изоляция'!I61*0.9</f>
        <v>3564.297</v>
      </c>
      <c r="J61" s="88">
        <f>'50 изоляция'!J61*0.9</f>
        <v>4198.095</v>
      </c>
      <c r="K61" s="8">
        <f>'50 изоляция'!K61*0.9</f>
        <v>5143.347</v>
      </c>
      <c r="L61" s="8">
        <f>'50 изоляция'!L61*0.9</f>
        <v>5711.805</v>
      </c>
      <c r="M61" s="8">
        <f>'50 изоляция'!M61*0.9</f>
        <v>6089.688</v>
      </c>
    </row>
    <row r="62" ht="19.5" customHeight="1" spans="1:13">
      <c r="A62" s="89" t="s">
        <v>24</v>
      </c>
      <c r="B62" s="8">
        <f>'50 изоляция'!B62*0.9</f>
        <v>2157.309</v>
      </c>
      <c r="C62" s="8">
        <f>'50 изоляция'!C62*0.9</f>
        <v>2292.345</v>
      </c>
      <c r="D62" s="88">
        <f>'50 изоляция'!D62*0.9</f>
        <v>2429.559</v>
      </c>
      <c r="E62" s="8">
        <f>'50 изоляция'!E62*0.9</f>
        <v>2576.574</v>
      </c>
      <c r="F62" s="8">
        <f>'50 изоляция'!F62*0.9</f>
        <v>2622.312</v>
      </c>
      <c r="G62" s="88">
        <f>'50 изоляция'!G62*0.9</f>
        <v>2761.704</v>
      </c>
      <c r="H62" s="8">
        <f>'50 изоляция'!H62*0.9</f>
        <v>3008.907</v>
      </c>
      <c r="I62" s="8">
        <f>'50 изоляция'!I62*0.9</f>
        <v>3379.167</v>
      </c>
      <c r="J62" s="88">
        <f>'50 изоляция'!J62*0.9</f>
        <v>4012.965</v>
      </c>
      <c r="K62" s="8">
        <f>'50 изоляция'!K62*0.9</f>
        <v>4958.217</v>
      </c>
      <c r="L62" s="8">
        <f>'50 изоляция'!L62*0.9</f>
        <v>5526.675</v>
      </c>
      <c r="M62" s="8">
        <f>'50 изоляция'!M62*0.9</f>
        <v>5904.558</v>
      </c>
    </row>
    <row r="63" ht="19.5" customHeight="1" spans="1:13">
      <c r="A63" s="89" t="s">
        <v>26</v>
      </c>
      <c r="B63" s="8">
        <f>'50 изоляция'!B63*0.9</f>
        <v>3342.141</v>
      </c>
      <c r="C63" s="8">
        <f>'50 изоляция'!C63*0.9</f>
        <v>3473.91</v>
      </c>
      <c r="D63" s="88">
        <f>'50 изоляция'!D63*0.9</f>
        <v>3672.108</v>
      </c>
      <c r="E63" s="8">
        <f>'50 изоляция'!E63*0.9</f>
        <v>4039.101</v>
      </c>
      <c r="F63" s="8">
        <f>'50 изоляция'!F63*0.9</f>
        <v>4208.985</v>
      </c>
      <c r="G63" s="88">
        <f>'50 изоляция'!G63*0.9</f>
        <v>4499.748</v>
      </c>
      <c r="H63" s="8">
        <f>'50 изоляция'!H63*0.9</f>
        <v>4761.108</v>
      </c>
      <c r="I63" s="8">
        <f>'50 изоляция'!I63*0.9</f>
        <v>5314.32</v>
      </c>
      <c r="J63" s="88">
        <f>'50 изоляция'!J63*0.9</f>
        <v>5679.135</v>
      </c>
      <c r="K63" s="8">
        <f>'50 изоляция'!K63*0.9</f>
        <v>7012.071</v>
      </c>
      <c r="L63" s="8">
        <f>'50 изоляция'!L63*0.9</f>
        <v>7811.397</v>
      </c>
      <c r="M63" s="8">
        <f>'50 изоляция'!M63*0.9</f>
        <v>8345.007</v>
      </c>
    </row>
    <row r="64" ht="19.5" customHeight="1" spans="1:13">
      <c r="A64" s="89" t="s">
        <v>27</v>
      </c>
      <c r="B64" s="8">
        <f>'50 изоляция'!B64*0.9</f>
        <v>4330.953</v>
      </c>
      <c r="C64" s="8">
        <f>'50 изоляция'!C64*0.9</f>
        <v>4450.743</v>
      </c>
      <c r="D64" s="88">
        <f>'50 изоляция'!D64*0.9</f>
        <v>4641.318</v>
      </c>
      <c r="E64" s="8">
        <f>'50 изоляция'!E64*0.9</f>
        <v>5063.85</v>
      </c>
      <c r="F64" s="8">
        <f>'50 изоляция'!F64*0.9</f>
        <v>5223.933</v>
      </c>
      <c r="G64" s="88">
        <f>'50 изоляция'!G64*0.9</f>
        <v>5795.658</v>
      </c>
      <c r="H64" s="8">
        <f>'50 изоляция'!H64*0.9</f>
        <v>6271.551</v>
      </c>
      <c r="I64" s="8">
        <f>'50 изоляция'!I64*0.9</f>
        <v>6822.585</v>
      </c>
      <c r="J64" s="88">
        <f>'50 изоляция'!J64*0.9</f>
        <v>7963.857</v>
      </c>
      <c r="K64" s="8">
        <f>'50 изоляция'!K64*0.9</f>
        <v>9329.463</v>
      </c>
      <c r="L64" s="8">
        <f>'50 изоляция'!L64*0.9</f>
        <v>10148.391</v>
      </c>
      <c r="M64" s="8">
        <f>'50 изоляция'!M64*0.9</f>
        <v>10640.619</v>
      </c>
    </row>
    <row r="65" ht="19.5" customHeight="1" spans="1:14">
      <c r="A65" s="89" t="s">
        <v>70</v>
      </c>
      <c r="B65" s="8">
        <f>'50 изоляция'!B65*0.9</f>
        <v>8043.354</v>
      </c>
      <c r="C65" s="8">
        <f>'50 изоляция'!C65*0.9</f>
        <v>8293.824</v>
      </c>
      <c r="D65" s="88">
        <f>'50 изоляция'!D65*0.9</f>
        <v>8505.09</v>
      </c>
      <c r="E65" s="8">
        <f>'50 изоляция'!E65*0.9</f>
        <v>8741.403</v>
      </c>
      <c r="F65" s="8">
        <f>'50 изоляция'!F65*0.9</f>
        <v>9007.119</v>
      </c>
      <c r="G65" s="88">
        <f>'50 изоляция'!G65*0.9</f>
        <v>9611.514</v>
      </c>
      <c r="H65" s="8">
        <f>'50 изоляция'!H65*0.9</f>
        <v>9931.68</v>
      </c>
      <c r="I65" s="8">
        <f>'50 изоляция'!I65*0.9</f>
        <v>10622.106</v>
      </c>
      <c r="J65" s="88">
        <f>'50 изоляция'!J65*0.9</f>
        <v>11912.571</v>
      </c>
      <c r="K65" s="8">
        <f>'50 изоляция'!K65*0.9</f>
        <v>14047.011</v>
      </c>
      <c r="L65" s="8">
        <f>'50 изоляция'!L65*0.9</f>
        <v>15327.675</v>
      </c>
      <c r="M65" s="8">
        <f>'50 изоляция'!M65*0.9</f>
        <v>9441.63</v>
      </c>
    </row>
    <row r="66" ht="19.5" customHeight="1" spans="1:14">
      <c r="A66" s="89" t="s">
        <v>71</v>
      </c>
      <c r="B66" s="8">
        <f>'50 изоляция'!B66*0.9</f>
        <v>913.671</v>
      </c>
      <c r="C66" s="8">
        <f>'50 изоляция'!C66*0.9</f>
        <v>933.273</v>
      </c>
      <c r="D66" s="88">
        <f>'50 изоляция'!D66*0.9</f>
        <v>999.702</v>
      </c>
      <c r="E66" s="8">
        <f>'50 изоляция'!E66*0.9</f>
        <v>1107.513</v>
      </c>
      <c r="F66" s="8">
        <f>'50 изоляция'!F66*0.9</f>
        <v>1190.277</v>
      </c>
      <c r="G66" s="88">
        <f>'50 изоляция'!G66*0.9</f>
        <v>1262.151</v>
      </c>
      <c r="H66" s="8">
        <f>'50 изоляция'!H66*0.9</f>
        <v>1371.051</v>
      </c>
      <c r="I66" s="8">
        <f>'50 изоляция'!I66*0.9</f>
        <v>1416.789</v>
      </c>
      <c r="J66" s="88">
        <f>'50 изоляция'!J66*0.9</f>
        <v>1583.406</v>
      </c>
      <c r="K66" s="8">
        <f>'50 изоляция'!K66*0.9</f>
        <v>1811.007</v>
      </c>
      <c r="L66" s="8">
        <f>'50 изоляция'!L66*0.9</f>
        <v>1948.221</v>
      </c>
      <c r="M66" s="8">
        <f>'50 изоляция'!M66*0.9</f>
        <v>2029.896</v>
      </c>
    </row>
    <row r="67" ht="19.5" customHeight="1" spans="1:14">
      <c r="A67" s="89" t="s">
        <v>72</v>
      </c>
      <c r="B67" s="8">
        <f>'50 изоляция'!B67*0.9</f>
        <v>2723.589</v>
      </c>
      <c r="C67" s="8">
        <f>'50 изоляция'!C67*0.9</f>
        <v>2805.264</v>
      </c>
      <c r="D67" s="88">
        <f>'50 изоляция'!D67*0.9</f>
        <v>2840.112</v>
      </c>
      <c r="E67" s="8">
        <f>'50 изоляция'!E67*0.9</f>
        <v>2949.012</v>
      </c>
      <c r="F67" s="8">
        <f>'50 изоляция'!F67*0.9</f>
        <v>3045.933</v>
      </c>
      <c r="G67" s="88">
        <f>'50 изоляция'!G67*0.9</f>
        <v>3280.068</v>
      </c>
      <c r="H67" s="8">
        <f>'50 изоляция'!H67*0.9</f>
        <v>3387.879</v>
      </c>
      <c r="I67" s="8">
        <f>'50 изоляция'!I67*0.9</f>
        <v>3625.281</v>
      </c>
      <c r="J67" s="88">
        <f>'50 изоляция'!J67*0.9</f>
        <v>4069.593</v>
      </c>
      <c r="K67" s="8">
        <f>'50 изоляция'!K67*0.9</f>
        <v>4909.212</v>
      </c>
      <c r="L67" s="8">
        <f>'50 изоляция'!L67*0.9</f>
        <v>5412.33</v>
      </c>
      <c r="M67" s="8">
        <f>'50 изоляция'!M67*0.9</f>
        <v>5715.072</v>
      </c>
    </row>
    <row r="68" ht="19.5" customHeight="1" spans="1:14">
      <c r="A68" s="89" t="s">
        <v>73</v>
      </c>
      <c r="B68" s="8">
        <f>'50 изоляция'!B68*0.9</f>
        <v>1028.016</v>
      </c>
      <c r="C68" s="8">
        <f>'50 изоляция'!C68*0.9</f>
        <v>1060.686</v>
      </c>
      <c r="D68" s="88">
        <f>'50 изоляция'!D68*0.9</f>
        <v>1123.848</v>
      </c>
      <c r="E68" s="8">
        <f>'50 изоляция'!E68*0.9</f>
        <v>1243.638</v>
      </c>
      <c r="F68" s="8">
        <f>'50 изоляция'!F68*0.9</f>
        <v>1293.732</v>
      </c>
      <c r="G68" s="88">
        <f>'50 изоляция'!G68*0.9</f>
        <v>1440.747</v>
      </c>
      <c r="H68" s="8">
        <f>'50 изоляция'!H68*0.9</f>
        <v>1573.605</v>
      </c>
      <c r="I68" s="8">
        <f>'50 изоляция'!I68*0.9</f>
        <v>1801.206</v>
      </c>
      <c r="J68" s="88">
        <f>'50 изоляция'!J68*0.9</f>
        <v>1949.31</v>
      </c>
      <c r="K68" s="8">
        <f>'50 изоляция'!K68*0.9</f>
        <v>2307.591</v>
      </c>
      <c r="L68" s="8">
        <f>'50 изоляция'!L68*0.9</f>
        <v>2522.124</v>
      </c>
      <c r="M68" s="8">
        <f>'50 изоляция'!M68*0.9</f>
        <v>2651.715</v>
      </c>
    </row>
    <row r="69" ht="19.5" customHeight="1" spans="1:14">
      <c r="A69" s="89" t="s">
        <v>74</v>
      </c>
      <c r="B69" s="8">
        <f>'50 изоляция'!B69*0.9</f>
        <v>1353.627</v>
      </c>
      <c r="C69" s="8">
        <f>'50 изоляция'!C69*0.9</f>
        <v>1400.454</v>
      </c>
      <c r="D69" s="88">
        <f>'50 изоляция'!D69*0.9</f>
        <v>1564.893</v>
      </c>
      <c r="E69" s="8">
        <f>'50 изоляция'!E69*0.9</f>
        <v>1603.008</v>
      </c>
      <c r="F69" s="8">
        <f>'50 изоляция'!F69*0.9</f>
        <v>1712.997</v>
      </c>
      <c r="G69" s="88">
        <f>'50 изоляция'!G69*0.9</f>
        <v>1974.357</v>
      </c>
      <c r="H69" s="8">
        <f>'50 изоляция'!H69*0.9</f>
        <v>2072.367</v>
      </c>
      <c r="I69" s="8">
        <f>'50 изоляция'!I69*0.9</f>
        <v>2276.01</v>
      </c>
      <c r="J69" s="88">
        <f>'50 изоляция'!J69*0.9</f>
        <v>2440.449</v>
      </c>
      <c r="K69" s="8">
        <f>'50 изоляция'!K69*0.9</f>
        <v>2970.792</v>
      </c>
      <c r="L69" s="8">
        <f>'50 изоляция'!L69*0.9</f>
        <v>3288.78</v>
      </c>
      <c r="M69" s="8">
        <f>'50 изоляция'!M69*0.9</f>
        <v>3479.355</v>
      </c>
    </row>
    <row r="70" ht="19.5" customHeight="1" spans="1:14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ht="19.5" customHeight="1" spans="1:14">
      <c r="A71" s="120" t="s">
        <v>35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5"/>
    </row>
    <row r="72" ht="19.5" customHeight="1" spans="1:14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83" t="s">
        <v>99</v>
      </c>
    </row>
    <row r="73" ht="19.5" customHeight="1" spans="1:14">
      <c r="A73" s="35"/>
      <c r="B73" s="35"/>
      <c r="C73" s="35"/>
      <c r="D73" s="35"/>
      <c r="E73" s="35"/>
      <c r="F73" s="35"/>
      <c r="G73" s="35"/>
      <c r="H73" s="35"/>
      <c r="I73" s="35"/>
      <c r="J73" s="35"/>
    </row>
    <row r="74" ht="19.5" customHeight="1" spans="1:14">
      <c r="A74" s="84" t="s">
        <v>85</v>
      </c>
      <c r="J74" s="35"/>
    </row>
    <row r="75" ht="19.5" customHeight="1" spans="1:14">
      <c r="A75" s="84" t="s">
        <v>87</v>
      </c>
      <c r="J75" s="35"/>
      <c r="K75" s="35"/>
      <c r="L75" s="35"/>
      <c r="M75" s="35"/>
    </row>
    <row r="76" ht="19.5" customHeight="1" spans="1:14">
      <c r="A76" s="84" t="s">
        <v>102</v>
      </c>
      <c r="J76" s="35"/>
      <c r="K76" s="35"/>
      <c r="L76" s="35"/>
      <c r="M76" s="35"/>
    </row>
    <row r="77" ht="27" customHeight="1" spans="1:14">
      <c r="A77" s="17"/>
      <c r="B77" s="86" t="s">
        <v>103</v>
      </c>
      <c r="C77" s="86" t="s">
        <v>104</v>
      </c>
      <c r="D77" s="86" t="s">
        <v>105</v>
      </c>
      <c r="E77" s="86" t="s">
        <v>106</v>
      </c>
      <c r="F77" s="86" t="s">
        <v>107</v>
      </c>
      <c r="G77" s="86" t="s">
        <v>108</v>
      </c>
      <c r="H77" s="86" t="s">
        <v>109</v>
      </c>
      <c r="I77" s="86" t="s">
        <v>110</v>
      </c>
      <c r="J77" s="86" t="s">
        <v>111</v>
      </c>
      <c r="K77" s="86" t="s">
        <v>112</v>
      </c>
      <c r="L77" s="86" t="s">
        <v>113</v>
      </c>
      <c r="M77" s="86" t="s">
        <v>114</v>
      </c>
    </row>
    <row r="78" ht="19.5" customHeight="1" spans="1:14">
      <c r="A78" s="89" t="s">
        <v>68</v>
      </c>
      <c r="B78" s="8">
        <f>'50 изоляция'!B78*0.9</f>
        <v>2453.517</v>
      </c>
      <c r="C78" s="8">
        <f>'50 изоляция'!C78*0.9</f>
        <v>2573.307</v>
      </c>
      <c r="D78" s="88">
        <f>'50 изоляция'!D78*0.9</f>
        <v>2793.285</v>
      </c>
      <c r="E78" s="8">
        <f>'50 изоляция'!E78*0.9</f>
        <v>3119.985</v>
      </c>
      <c r="F78" s="8">
        <f>'50 изоляция'!F78*0.9</f>
        <v>3239.775</v>
      </c>
      <c r="G78" s="88">
        <f>'50 изоляция'!G78*0.9</f>
        <v>3324.717</v>
      </c>
      <c r="H78" s="8">
        <f>'50 изоляция'!H78*0.9</f>
        <v>4030.389</v>
      </c>
      <c r="I78" s="8">
        <f>'50 изоляция'!I78*0.9</f>
        <v>4231.854</v>
      </c>
      <c r="J78" s="88">
        <f>'50 изоляция'!J78*0.9</f>
        <v>4439.853</v>
      </c>
      <c r="K78" s="8">
        <f>'50 изоляция'!K78*0.9</f>
        <v>5646.465</v>
      </c>
      <c r="L78" s="8">
        <f>'50 изоляция'!L78*0.9</f>
        <v>6370.65</v>
      </c>
      <c r="M78" s="8">
        <f>'50 изоляция'!M78*0.9</f>
        <v>6853.077</v>
      </c>
    </row>
    <row r="79" ht="19.5" customHeight="1" spans="1:14">
      <c r="A79" s="89" t="s">
        <v>18</v>
      </c>
      <c r="B79" s="8">
        <f>'50 изоляция'!B79*0.9</f>
        <v>2036.43</v>
      </c>
      <c r="C79" s="8">
        <f>'50 изоляция'!C79*0.9</f>
        <v>2169.288</v>
      </c>
      <c r="D79" s="88">
        <f>'50 изоляция'!D79*0.9</f>
        <v>2377.287</v>
      </c>
      <c r="E79" s="8">
        <f>'50 изоляция'!E79*0.9</f>
        <v>2684.385</v>
      </c>
      <c r="F79" s="8">
        <f>'50 изоляция'!F79*0.9</f>
        <v>2776.95</v>
      </c>
      <c r="G79" s="88">
        <f>'50 изоляция'!G79*0.9</f>
        <v>2860.803</v>
      </c>
      <c r="H79" s="8">
        <f>'50 изоляция'!H79*0.9</f>
        <v>3428.172</v>
      </c>
      <c r="I79" s="8">
        <f>'50 изоляция'!I79*0.9</f>
        <v>3610.035</v>
      </c>
      <c r="J79" s="88">
        <f>'50 изоляция'!J79*0.9</f>
        <v>3745.071</v>
      </c>
      <c r="K79" s="8">
        <f>'50 изоляция'!K79*0.9</f>
        <v>4813.38</v>
      </c>
      <c r="L79" s="8">
        <f>'50 изоляция'!L79*0.9</f>
        <v>5453.712</v>
      </c>
      <c r="M79" s="8">
        <f>'50 изоляция'!M79*0.9</f>
        <v>5881.689</v>
      </c>
    </row>
    <row r="80" ht="19.5" customHeight="1" spans="1:14">
      <c r="A80" s="89" t="s">
        <v>19</v>
      </c>
      <c r="B80" s="8">
        <f>'50 изоляция'!B80*0.9</f>
        <v>1690.128</v>
      </c>
      <c r="C80" s="8">
        <f>'50 изоляция'!C80*0.9</f>
        <v>1758.735</v>
      </c>
      <c r="D80" s="88">
        <f>'50 изоляция'!D80*0.9</f>
        <v>1943.865</v>
      </c>
      <c r="E80" s="8">
        <f>'50 изоляция'!E80*0.9</f>
        <v>2162.754</v>
      </c>
      <c r="F80" s="8">
        <f>'50 изоляция'!F80*0.9</f>
        <v>2268.387</v>
      </c>
      <c r="G80" s="88">
        <f>'50 изоляция'!G80*0.9</f>
        <v>2314.125</v>
      </c>
      <c r="H80" s="8">
        <f>'50 изоляция'!H80*0.9</f>
        <v>2827.044</v>
      </c>
      <c r="I80" s="8">
        <f>'50 изоляция'!I80*0.9</f>
        <v>2978.415</v>
      </c>
      <c r="J80" s="88">
        <f>'50 изоляция'!J80*0.9</f>
        <v>3093.849</v>
      </c>
      <c r="K80" s="8">
        <f>'50 изоляция'!K80*0.9</f>
        <v>4043.457</v>
      </c>
      <c r="L80" s="8">
        <f>'50 изоляция'!L80*0.9</f>
        <v>4613.004</v>
      </c>
      <c r="M80" s="8">
        <f>'50 изоляция'!M80*0.9</f>
        <v>4993.065</v>
      </c>
    </row>
    <row r="81" ht="19.5" customHeight="1" spans="1:14">
      <c r="A81" s="89" t="s">
        <v>20</v>
      </c>
      <c r="B81" s="8">
        <f>'50 изоляция'!B81*0.9</f>
        <v>1362.339</v>
      </c>
      <c r="C81" s="8">
        <f>'50 изоляция'!C81*0.9</f>
        <v>1390.653</v>
      </c>
      <c r="D81" s="88">
        <f>'50 изоляция'!D81*0.9</f>
        <v>1538.757</v>
      </c>
      <c r="E81" s="8">
        <f>'50 изоляция'!E81*0.9</f>
        <v>1816.452</v>
      </c>
      <c r="F81" s="8">
        <f>'50 изоляция'!F81*0.9</f>
        <v>1881.792</v>
      </c>
      <c r="G81" s="88">
        <f>'50 изоляция'!G81*0.9</f>
        <v>1943.865</v>
      </c>
      <c r="H81" s="8">
        <f>'50 изоляция'!H81*0.9</f>
        <v>2212.848</v>
      </c>
      <c r="I81" s="8">
        <f>'50 изоляция'!I81*0.9</f>
        <v>2383.821</v>
      </c>
      <c r="J81" s="88">
        <f>'50 изоляция'!J81*0.9</f>
        <v>2729.034</v>
      </c>
      <c r="K81" s="8">
        <f>'50 изоляция'!K81*0.9</f>
        <v>3206.016</v>
      </c>
      <c r="L81" s="8">
        <f>'50 изоляция'!L81*0.9</f>
        <v>3491.334</v>
      </c>
      <c r="M81" s="8">
        <f>'50 изоляция'!M81*0.9</f>
        <v>3662.307</v>
      </c>
    </row>
    <row r="82" ht="19.5" customHeight="1" spans="1:14">
      <c r="A82" s="89" t="s">
        <v>21</v>
      </c>
      <c r="B82" s="8">
        <f>'50 изоляция'!B82*0.9</f>
        <v>1110.78</v>
      </c>
      <c r="C82" s="8">
        <f>'50 изоляция'!C82*0.9</f>
        <v>1205.523</v>
      </c>
      <c r="D82" s="88">
        <f>'50 изоляция'!D82*0.9</f>
        <v>1295.91</v>
      </c>
      <c r="E82" s="8">
        <f>'50 изоляция'!E82*0.9</f>
        <v>1410.255</v>
      </c>
      <c r="F82" s="8">
        <f>'50 изоляция'!F82*0.9</f>
        <v>1539.846</v>
      </c>
      <c r="G82" s="88">
        <f>'50 изоляция'!G82*0.9</f>
        <v>1693.395</v>
      </c>
      <c r="H82" s="8">
        <f>'50 изоляция'!H82*0.9</f>
        <v>1740.222</v>
      </c>
      <c r="I82" s="8">
        <f>'50 изоляция'!I82*0.9</f>
        <v>1862.19</v>
      </c>
      <c r="J82" s="88">
        <f>'50 изоляция'!J82*0.9</f>
        <v>2114.838</v>
      </c>
      <c r="K82" s="8">
        <f>'50 изоляция'!K82*0.9</f>
        <v>2461.14</v>
      </c>
      <c r="L82" s="8">
        <f>'50 изоляция'!L82*0.9</f>
        <v>2669.139</v>
      </c>
      <c r="M82" s="8">
        <f>'50 изоляция'!M82*0.9</f>
        <v>2793.285</v>
      </c>
    </row>
    <row r="83" ht="19.5" customHeight="1" spans="1:14">
      <c r="A83" s="89" t="s">
        <v>22</v>
      </c>
      <c r="B83" s="8">
        <f>'50 изоляция'!B83*0.9</f>
        <v>959.409</v>
      </c>
      <c r="C83" s="8">
        <f>'50 изоляция'!C83*0.9</f>
        <v>996.435</v>
      </c>
      <c r="D83" s="88">
        <f>'50 изоляция'!D83*0.9</f>
        <v>1107.513</v>
      </c>
      <c r="E83" s="8">
        <f>'50 изоляция'!E83*0.9</f>
        <v>1134.738</v>
      </c>
      <c r="F83" s="8">
        <f>'50 изоляция'!F83*0.9</f>
        <v>1213.146</v>
      </c>
      <c r="G83" s="88">
        <f>'50 изоляция'!G83*0.9</f>
        <v>1258.884</v>
      </c>
      <c r="H83" s="8">
        <f>'50 изоляция'!H83*0.9</f>
        <v>1283.931</v>
      </c>
      <c r="I83" s="8">
        <f>'50 изоляция'!I83*0.9</f>
        <v>1353.627</v>
      </c>
      <c r="J83" s="88">
        <f>'50 изоляция'!J83*0.9</f>
        <v>1508.265</v>
      </c>
      <c r="K83" s="8">
        <f>'50 изоляция'!K83*0.9</f>
        <v>1718.442</v>
      </c>
      <c r="L83" s="8">
        <f>'50 изоляция'!L83*0.9</f>
        <v>1843.677</v>
      </c>
      <c r="M83" s="8">
        <f>'50 изоляция'!M83*0.9</f>
        <v>1919.907</v>
      </c>
    </row>
    <row r="84" ht="19.5" customHeight="1" spans="1:14">
      <c r="A84" s="89" t="s">
        <v>23</v>
      </c>
      <c r="B84" s="8">
        <f>'50 изоляция'!B84*0.9</f>
        <v>2600.532</v>
      </c>
      <c r="C84" s="8">
        <f>'50 изоляция'!C84*0.9</f>
        <v>2843.379</v>
      </c>
      <c r="D84" s="88">
        <f>'50 изоляция'!D84*0.9</f>
        <v>3179.88</v>
      </c>
      <c r="E84" s="8">
        <f>'50 изоляция'!E84*0.9</f>
        <v>3437.973</v>
      </c>
      <c r="F84" s="8">
        <f>'50 изоляция'!F84*0.9</f>
        <v>3779.919</v>
      </c>
      <c r="G84" s="88">
        <f>'50 изоляция'!G84*0.9</f>
        <v>4230.765</v>
      </c>
      <c r="H84" s="8">
        <f>'50 изоляция'!H84*0.9</f>
        <v>4685.967</v>
      </c>
      <c r="I84" s="8">
        <f>'50 изоляция'!I84*0.9</f>
        <v>4850.406</v>
      </c>
      <c r="J84" s="88">
        <f>'50 изоляция'!J84*0.9</f>
        <v>5458.068</v>
      </c>
      <c r="K84" s="8">
        <f>'50 изоляция'!K84*0.9</f>
        <v>7063.254</v>
      </c>
      <c r="L84" s="8">
        <f>'50 изоляция'!L84*0.9</f>
        <v>8027.019</v>
      </c>
      <c r="M84" s="8">
        <f>'50 изоляция'!M84*0.9</f>
        <v>8669.529</v>
      </c>
    </row>
    <row r="85" ht="19.5" customHeight="1" spans="1:14">
      <c r="A85" s="89" t="s">
        <v>24</v>
      </c>
      <c r="B85" s="8">
        <f>'50 изоляция'!B85*0.9</f>
        <v>2415.402</v>
      </c>
      <c r="C85" s="8">
        <f>'50 изоляция'!C85*0.9</f>
        <v>2658.249</v>
      </c>
      <c r="D85" s="88">
        <f>'50 изоляция'!D85*0.9</f>
        <v>2994.75</v>
      </c>
      <c r="E85" s="8">
        <f>'50 изоляция'!E85*0.9</f>
        <v>3252.843</v>
      </c>
      <c r="F85" s="8">
        <f>'50 изоляция'!F85*0.9</f>
        <v>3594.789</v>
      </c>
      <c r="G85" s="88">
        <f>'50 изоляция'!G85*0.9</f>
        <v>4045.635</v>
      </c>
      <c r="H85" s="8">
        <f>'50 изоляция'!H85*0.9</f>
        <v>4500.837</v>
      </c>
      <c r="I85" s="8">
        <f>'50 изоляция'!I85*0.9</f>
        <v>4665.276</v>
      </c>
      <c r="J85" s="88">
        <f>'50 изоляция'!J85*0.9</f>
        <v>5272.938</v>
      </c>
      <c r="K85" s="8">
        <f>'50 изоляция'!K85*0.9</f>
        <v>6878.124</v>
      </c>
      <c r="L85" s="8">
        <f>'50 изоляция'!L85*0.9</f>
        <v>7841.889</v>
      </c>
      <c r="M85" s="8">
        <f>'50 изоляция'!M85*0.9</f>
        <v>8484.399</v>
      </c>
    </row>
    <row r="86" ht="19.5" customHeight="1" spans="1:14">
      <c r="A86" s="89" t="s">
        <v>26</v>
      </c>
      <c r="B86" s="8">
        <f>'50 изоляция'!B86*0.9</f>
        <v>3750.516</v>
      </c>
      <c r="C86" s="8">
        <f>'50 изоляция'!C86*0.9</f>
        <v>4034.745</v>
      </c>
      <c r="D86" s="88">
        <f>'50 изоляция'!D86*0.9</f>
        <v>4369.068</v>
      </c>
      <c r="E86" s="8">
        <f>'50 изоляция'!E86*0.9</f>
        <v>4727.349</v>
      </c>
      <c r="F86" s="8">
        <f>'50 изоляция'!F86*0.9</f>
        <v>4960.395</v>
      </c>
      <c r="G86" s="88">
        <f>'50 изоляция'!G86*0.9</f>
        <v>5346.99</v>
      </c>
      <c r="H86" s="8">
        <f>'50 изоляция'!H86*0.9</f>
        <v>5575.68</v>
      </c>
      <c r="I86" s="8">
        <f>'50 изоляция'!I86*0.9</f>
        <v>6094.044</v>
      </c>
      <c r="J86" s="88">
        <f>'50 изоляция'!J86*0.9</f>
        <v>6835.653</v>
      </c>
      <c r="K86" s="8">
        <f>'50 изоляция'!K86*0.9</f>
        <v>7691.607</v>
      </c>
      <c r="L86" s="8">
        <f>'50 изоляция'!L86*0.9</f>
        <v>8205.615</v>
      </c>
      <c r="M86" s="8">
        <f>'50 изоляция'!M86*0.9</f>
        <v>8548.65</v>
      </c>
    </row>
    <row r="87" ht="19.5" customHeight="1" spans="1:14">
      <c r="A87" s="89" t="s">
        <v>27</v>
      </c>
      <c r="B87" s="8">
        <f>'50 изоляция'!B87*0.9</f>
        <v>4991.976</v>
      </c>
      <c r="C87" s="8">
        <f>'50 изоляция'!C87*0.9</f>
        <v>5296.896</v>
      </c>
      <c r="D87" s="88">
        <f>'50 изоляция'!D87*0.9</f>
        <v>5468.958</v>
      </c>
      <c r="E87" s="8">
        <f>'50 изоляция'!E87*0.9</f>
        <v>5798.925</v>
      </c>
      <c r="F87" s="8">
        <f>'50 изоляция'!F87*0.9</f>
        <v>6063.552</v>
      </c>
      <c r="G87" s="88">
        <f>'50 изоляция'!G87*0.9</f>
        <v>6704.973</v>
      </c>
      <c r="H87" s="8">
        <f>'50 изоляция'!H87*0.9</f>
        <v>7119.882</v>
      </c>
      <c r="I87" s="8">
        <f>'50 изоляция'!I87*0.9</f>
        <v>8044.443</v>
      </c>
      <c r="J87" s="88">
        <f>'50 изоляция'!J87*0.9</f>
        <v>9571.221</v>
      </c>
      <c r="K87" s="8">
        <f>'50 изоляция'!K87*0.9</f>
        <v>11612.007</v>
      </c>
      <c r="L87" s="8">
        <f>'50 изоляция'!L87*0.9</f>
        <v>12837.132</v>
      </c>
      <c r="M87" s="8">
        <f>'50 изоляция'!M87*0.9</f>
        <v>13572.207</v>
      </c>
    </row>
    <row r="88" ht="19.5" customHeight="1" spans="1:14">
      <c r="A88" s="89" t="s">
        <v>70</v>
      </c>
      <c r="B88" s="8">
        <f>'50 изоляция'!B88*0.9</f>
        <v>9210.762</v>
      </c>
      <c r="C88" s="8">
        <f>'50 изоляция'!C88*0.9</f>
        <v>9510.237</v>
      </c>
      <c r="D88" s="88">
        <f>'50 изоляция'!D88*0.9</f>
        <v>9754.173</v>
      </c>
      <c r="E88" s="8">
        <f>'50 изоляция'!E88*0.9</f>
        <v>10031.868</v>
      </c>
      <c r="F88" s="8">
        <f>'50 изоляция'!F88*0.9</f>
        <v>10346.589</v>
      </c>
      <c r="G88" s="88">
        <f>'50 изоляция'!G88*0.9</f>
        <v>11058.795</v>
      </c>
      <c r="H88" s="8">
        <f>'50 изоляция'!H88*0.9</f>
        <v>11442.123</v>
      </c>
      <c r="I88" s="8">
        <f>'50 изоляция'!I88*0.9</f>
        <v>12271.941</v>
      </c>
      <c r="J88" s="88">
        <f>'50 изоляция'!J88*0.9</f>
        <v>13693.086</v>
      </c>
      <c r="K88" s="8">
        <f>'50 изоляция'!K88*0.9</f>
        <v>16097.598</v>
      </c>
      <c r="L88" s="8">
        <f>'50 изоляция'!L88*0.9</f>
        <v>17541.612</v>
      </c>
      <c r="M88" s="8">
        <f>'50 изоляция'!M88*0.9</f>
        <v>18406.278</v>
      </c>
    </row>
    <row r="89" ht="19.5" customHeight="1" spans="1:14">
      <c r="A89" s="89" t="s">
        <v>71</v>
      </c>
      <c r="B89" s="8">
        <f>'50 изоляция'!B89*0.9</f>
        <v>1077.021</v>
      </c>
      <c r="C89" s="8">
        <f>'50 изоляция'!C89*0.9</f>
        <v>1097.712</v>
      </c>
      <c r="D89" s="88">
        <f>'50 изоляция'!D89*0.9</f>
        <v>1120.581</v>
      </c>
      <c r="E89" s="8">
        <f>'50 изоляция'!E89*0.9</f>
        <v>1234.926</v>
      </c>
      <c r="F89" s="8">
        <f>'50 изоляция'!F89*0.9</f>
        <v>1348.182</v>
      </c>
      <c r="G89" s="88">
        <f>'50 изоляция'!G89*0.9</f>
        <v>1410.255</v>
      </c>
      <c r="H89" s="8">
        <f>'50 изоляция'!H89*0.9</f>
        <v>1527.867</v>
      </c>
      <c r="I89" s="8">
        <f>'50 изоляция'!I89*0.9</f>
        <v>1576.872</v>
      </c>
      <c r="J89" s="88">
        <f>'50 изоляция'!J89*0.9</f>
        <v>1738.044</v>
      </c>
      <c r="K89" s="8">
        <f>'50 изоляция'!K89*0.9</f>
        <v>1934.064</v>
      </c>
      <c r="L89" s="8">
        <f>'50 изоляция'!L89*0.9</f>
        <v>2051.676</v>
      </c>
      <c r="M89" s="8">
        <f>'50 изоляция'!M89*0.9</f>
        <v>2121.372</v>
      </c>
    </row>
    <row r="90" ht="19.5" customHeight="1" spans="1:14">
      <c r="A90" s="89" t="s">
        <v>81</v>
      </c>
      <c r="B90" s="8">
        <f>'50 изоляция'!B90*0.9</f>
        <v>3050.289</v>
      </c>
      <c r="C90" s="8">
        <f>'50 изоляция'!C90*0.9</f>
        <v>3150.477</v>
      </c>
      <c r="D90" s="88">
        <f>'50 изоляция'!D90*0.9</f>
        <v>3179.88</v>
      </c>
      <c r="E90" s="8">
        <f>'50 изоляция'!E90*0.9</f>
        <v>3299.67</v>
      </c>
      <c r="F90" s="8">
        <f>'50 изоляция'!F90*0.9</f>
        <v>3418.371</v>
      </c>
      <c r="G90" s="88">
        <f>'50 изоляция'!G90*0.9</f>
        <v>3752.694</v>
      </c>
      <c r="H90" s="8">
        <f>'50 изоляция'!H90*0.9</f>
        <v>4054.347</v>
      </c>
      <c r="I90" s="8">
        <f>'50 изоляция'!I90*0.9</f>
        <v>4363.623</v>
      </c>
      <c r="J90" s="88">
        <f>'50 изоляция'!J90*0.9</f>
        <v>4813.38</v>
      </c>
      <c r="K90" s="8">
        <f>'50 изоляция'!K90*0.9</f>
        <v>6045.039</v>
      </c>
      <c r="L90" s="8">
        <f>'50 изоляция'!L90*0.9</f>
        <v>6783.381</v>
      </c>
      <c r="M90" s="8">
        <f>'50 изоляция'!M90*0.9</f>
        <v>7226.604</v>
      </c>
    </row>
    <row r="91" ht="19.5" customHeight="1" spans="1:14">
      <c r="A91" s="89" t="s">
        <v>82</v>
      </c>
      <c r="B91" s="8">
        <f>'50 изоляция'!B91*0.9</f>
        <v>3716.757</v>
      </c>
      <c r="C91" s="8">
        <f>'50 изоляция'!C91*0.9</f>
        <v>3860.505</v>
      </c>
      <c r="D91" s="88">
        <f>'50 изоляция'!D91*0.9</f>
        <v>3888.819</v>
      </c>
      <c r="E91" s="8">
        <f>'50 изоляция'!E91*0.9</f>
        <v>2968.614</v>
      </c>
      <c r="F91" s="8">
        <f>'50 изоляция'!F91*0.9</f>
        <v>4225.32</v>
      </c>
      <c r="G91" s="88">
        <f>'50 изоляция'!G91*0.9</f>
        <v>4553.109</v>
      </c>
      <c r="H91" s="8">
        <f>'50 изоляция'!H91*0.9</f>
        <v>4730.616</v>
      </c>
      <c r="I91" s="8">
        <f>'50 изоляция'!I91*0.9</f>
        <v>5096.52</v>
      </c>
      <c r="J91" s="88">
        <f>'50 изоляция'!J91*0.9</f>
        <v>5697.648</v>
      </c>
      <c r="K91" s="8">
        <f>'50 изоляция'!K91*0.9</f>
        <v>6984.846</v>
      </c>
      <c r="L91" s="8">
        <f>'50 изоляция'!L91*0.9</f>
        <v>7758.036</v>
      </c>
      <c r="M91" s="8">
        <f>'50 изоляция'!M91*0.9</f>
        <v>8220.861</v>
      </c>
    </row>
    <row r="92" ht="19.5" customHeight="1" spans="1:14">
      <c r="A92" s="89" t="s">
        <v>39</v>
      </c>
      <c r="B92" s="8">
        <f>'50 изоляция'!B92*0.9</f>
        <v>2527.569</v>
      </c>
      <c r="C92" s="8">
        <f>'50 изоляция'!C92*0.9</f>
        <v>2560.239</v>
      </c>
      <c r="D92" s="88">
        <f>'50 изоляция'!D92*0.9</f>
        <v>2633.202</v>
      </c>
      <c r="E92" s="8">
        <f>'50 изоляция'!E92*0.9</f>
        <v>2884.761</v>
      </c>
      <c r="F92" s="8">
        <f>'50 изоляция'!F92*0.9</f>
        <v>3048.111</v>
      </c>
      <c r="G92" s="88">
        <f>'50 изоляция'!G92*0.9</f>
        <v>3305.115</v>
      </c>
      <c r="H92" s="8">
        <f>'50 изоляция'!H92*0.9</f>
        <v>3351.942</v>
      </c>
      <c r="I92" s="8">
        <f>'50 изоляция'!I92*0.9</f>
        <v>3480.444</v>
      </c>
      <c r="J92" s="88">
        <f>'50 изоляция'!J92*0.9</f>
        <v>3761.406</v>
      </c>
      <c r="K92" s="8">
        <f>'50 изоляция'!K92*0.9</f>
        <v>4397.382</v>
      </c>
      <c r="L92" s="8">
        <f>'50 изоляция'!L92*0.9</f>
        <v>4779.621</v>
      </c>
      <c r="M92" s="8">
        <f>'50 изоляция'!M92*0.9</f>
        <v>5008.311</v>
      </c>
    </row>
    <row r="93" ht="19.5" customHeight="1" spans="1:14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</row>
    <row r="94" ht="19.5" customHeight="1" spans="1:14">
      <c r="A94" s="120" t="s">
        <v>35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5"/>
    </row>
    <row r="95" ht="19.5" customHeight="1" spans="1:14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83" t="s">
        <v>99</v>
      </c>
    </row>
    <row r="96" ht="19.5" customHeight="1" spans="1:14">
      <c r="A96" s="35"/>
      <c r="B96" s="35"/>
      <c r="C96" s="35"/>
      <c r="D96" s="35"/>
      <c r="E96" s="35"/>
      <c r="F96" s="35"/>
      <c r="G96" s="35"/>
      <c r="H96" s="35"/>
      <c r="I96" s="35"/>
      <c r="J96" s="35"/>
    </row>
    <row r="97" ht="19.5" customHeight="1" spans="1:13">
      <c r="A97" s="92" t="s">
        <v>117</v>
      </c>
    </row>
    <row r="98" ht="19.5" customHeight="1" spans="1:13">
      <c r="A98" s="92" t="s">
        <v>118</v>
      </c>
      <c r="K98" s="35"/>
      <c r="L98" s="35"/>
      <c r="M98" s="35"/>
    </row>
    <row r="99" ht="19.5" customHeight="1" spans="1:13">
      <c r="A99" s="92" t="s">
        <v>102</v>
      </c>
      <c r="J99" s="35"/>
      <c r="K99" s="35"/>
      <c r="L99" s="35"/>
      <c r="M99" s="35"/>
    </row>
    <row r="100" ht="27" customHeight="1" spans="1:13">
      <c r="A100" s="17"/>
      <c r="B100" s="86" t="s">
        <v>103</v>
      </c>
      <c r="C100" s="86" t="s">
        <v>104</v>
      </c>
      <c r="D100" s="86" t="s">
        <v>105</v>
      </c>
      <c r="E100" s="86" t="s">
        <v>106</v>
      </c>
      <c r="F100" s="86" t="s">
        <v>107</v>
      </c>
      <c r="G100" s="86" t="s">
        <v>108</v>
      </c>
      <c r="H100" s="86" t="s">
        <v>109</v>
      </c>
      <c r="I100" s="86" t="s">
        <v>110</v>
      </c>
      <c r="J100" s="86" t="s">
        <v>111</v>
      </c>
      <c r="K100" s="86" t="s">
        <v>112</v>
      </c>
      <c r="L100" s="86" t="s">
        <v>113</v>
      </c>
      <c r="M100" s="86" t="s">
        <v>114</v>
      </c>
    </row>
    <row r="101" ht="19.5" customHeight="1" spans="1:13">
      <c r="A101" s="89" t="s">
        <v>68</v>
      </c>
      <c r="B101" s="8">
        <f>'50 изоляция'!B101*0.9</f>
        <v>2667.5055</v>
      </c>
      <c r="C101" s="8">
        <f>'50 изоляция'!C101*0.9</f>
        <v>2711.907</v>
      </c>
      <c r="D101" s="88">
        <f>'50 изоляция'!D101*0.9</f>
        <v>2906.5905</v>
      </c>
      <c r="E101" s="8">
        <f>'50 изоляция'!E101*0.9</f>
        <v>3141.1215</v>
      </c>
      <c r="F101" s="8">
        <f>'50 изоляция'!F101*0.9</f>
        <v>3387.0375</v>
      </c>
      <c r="G101" s="88">
        <f>'50 изоляция'!G101*0.9</f>
        <v>3532.7655</v>
      </c>
      <c r="H101" s="8">
        <f>'50 изоляция'!H101*0.9</f>
        <v>3704.679</v>
      </c>
      <c r="I101" s="8">
        <f>'50 изоляция'!I101*0.9</f>
        <v>4064.445</v>
      </c>
      <c r="J101" s="88">
        <f>'50 изоляция'!J101*0.9</f>
        <v>4451.535</v>
      </c>
      <c r="K101" s="8">
        <f>'50 изоляция'!K101*0.9</f>
        <v>5419.26</v>
      </c>
      <c r="L101" s="8">
        <f>'50 изоляция'!L101*0.9</f>
        <v>5999.895</v>
      </c>
      <c r="M101" s="8">
        <f>'50 изоляция'!M101*0.9</f>
        <v>6386.985</v>
      </c>
    </row>
    <row r="102" ht="19.5" customHeight="1" spans="1:13">
      <c r="A102" s="89" t="s">
        <v>18</v>
      </c>
      <c r="B102" s="8">
        <f>'50 изоляция'!B102*0.9</f>
        <v>2185.92</v>
      </c>
      <c r="C102" s="8">
        <f>'50 изоляция'!C102*0.9</f>
        <v>2352.141</v>
      </c>
      <c r="D102" s="88">
        <f>'50 изоляция'!D102*0.9</f>
        <v>2553.6555</v>
      </c>
      <c r="E102" s="8">
        <f>'50 изоляция'!E102*0.9</f>
        <v>2732.4</v>
      </c>
      <c r="F102" s="8">
        <f>'50 изоляция'!F102*0.9</f>
        <v>2894.067</v>
      </c>
      <c r="G102" s="88">
        <f>'50 изоляция'!G102*0.9</f>
        <v>3032.964</v>
      </c>
      <c r="H102" s="8">
        <f>'50 изоляция'!H102*0.9</f>
        <v>3206.016</v>
      </c>
      <c r="I102" s="8">
        <f>'50 изоляция'!I102*0.9</f>
        <v>3662.5545</v>
      </c>
      <c r="J102" s="88">
        <f>'50 изоляция'!J102*0.9</f>
        <v>3770.712</v>
      </c>
      <c r="K102" s="8">
        <f>'50 изоляция'!K102*0.9</f>
        <v>4645.08</v>
      </c>
      <c r="L102" s="8">
        <f>'50 изоляция'!L102*0.9</f>
        <v>5051.5245</v>
      </c>
      <c r="M102" s="8">
        <f>'50 изоляция'!M102*0.9</f>
        <v>5345.2575</v>
      </c>
    </row>
    <row r="103" ht="19.5" customHeight="1" spans="1:13">
      <c r="A103" s="89" t="s">
        <v>19</v>
      </c>
      <c r="B103" s="8">
        <f>'50 изоляция'!B103*0.9</f>
        <v>1703.196</v>
      </c>
      <c r="C103" s="8">
        <f>'50 изоляция'!C103*0.9</f>
        <v>1846.647</v>
      </c>
      <c r="D103" s="88">
        <f>'50 изоляция'!D103*0.9</f>
        <v>2012.868</v>
      </c>
      <c r="E103" s="8">
        <f>'50 изоляция'!E103*0.9</f>
        <v>2164.2885</v>
      </c>
      <c r="F103" s="8">
        <f>'50 изоляция'!F103*0.9</f>
        <v>2369.2185</v>
      </c>
      <c r="G103" s="88">
        <f>'50 изоляция'!G103*0.9</f>
        <v>2516.085</v>
      </c>
      <c r="H103" s="8">
        <f>'50 изоляция'!H103*0.9</f>
        <v>2616.273</v>
      </c>
      <c r="I103" s="8">
        <f>'50 изоляция'!I103*0.9</f>
        <v>2841.696</v>
      </c>
      <c r="J103" s="88">
        <f>'50 изоляция'!J103*0.9</f>
        <v>3096.72</v>
      </c>
      <c r="K103" s="8">
        <f>'50 изоляция'!K103*0.9</f>
        <v>3774.1275</v>
      </c>
      <c r="L103" s="8">
        <f>'50 изоляция'!L103*0.9</f>
        <v>4180.572</v>
      </c>
      <c r="M103" s="8">
        <f>'50 изоляция'!M103*0.9</f>
        <v>4451.535</v>
      </c>
    </row>
    <row r="104" ht="19.5" customHeight="1" spans="1:13">
      <c r="A104" s="89" t="s">
        <v>20</v>
      </c>
      <c r="B104" s="8">
        <f>'50 изоляция'!B104*0.9</f>
        <v>1414.017</v>
      </c>
      <c r="C104" s="8">
        <f>'50 изоляция'!C104*0.9</f>
        <v>1542.6675</v>
      </c>
      <c r="D104" s="88">
        <f>'50 изоляция'!D104*0.9</f>
        <v>1687.257</v>
      </c>
      <c r="E104" s="8">
        <f>'50 изоляция'!E104*0.9</f>
        <v>1822.7385</v>
      </c>
      <c r="F104" s="8">
        <f>'50 изоляция'!F104*0.9</f>
        <v>1965.051</v>
      </c>
      <c r="G104" s="88">
        <f>'50 изоляция'!G104*0.9</f>
        <v>2032.2225</v>
      </c>
      <c r="H104" s="8">
        <f>'50 изоляция'!H104*0.9</f>
        <v>2136.9645</v>
      </c>
      <c r="I104" s="8">
        <f>'50 изоляция'!I104*0.9</f>
        <v>2288.385</v>
      </c>
      <c r="J104" s="88">
        <f>'50 изоляция'!J104*0.9</f>
        <v>2516.085</v>
      </c>
      <c r="K104" s="8">
        <f>'50 изоляция'!K104*0.9</f>
        <v>3030.687</v>
      </c>
      <c r="L104" s="8">
        <f>'50 изоляция'!L104*0.9</f>
        <v>3339.2205</v>
      </c>
      <c r="M104" s="8">
        <f>'50 изоляция'!M104*0.9</f>
        <v>3545.289</v>
      </c>
    </row>
    <row r="105" ht="19.5" customHeight="1" spans="1:13">
      <c r="A105" s="89" t="s">
        <v>21</v>
      </c>
      <c r="B105" s="8">
        <f>'50 изоляция'!B105*0.9</f>
        <v>1341.153</v>
      </c>
      <c r="C105" s="8">
        <f>'50 изоляция'!C105*0.9</f>
        <v>1358.2305</v>
      </c>
      <c r="D105" s="88">
        <f>'50 изоляция'!D105*0.9</f>
        <v>1416.294</v>
      </c>
      <c r="E105" s="8">
        <f>'50 изоляция'!E105*0.9</f>
        <v>1457.28</v>
      </c>
      <c r="F105" s="8">
        <f>'50 изоляция'!F105*0.9</f>
        <v>1565.4375</v>
      </c>
      <c r="G105" s="88">
        <f>'50 изоляция'!G105*0.9</f>
        <v>1641.717</v>
      </c>
      <c r="H105" s="8">
        <f>'50 изоляция'!H105*0.9</f>
        <v>1674.7335</v>
      </c>
      <c r="I105" s="8">
        <f>'50 изоляция'!I105*0.9</f>
        <v>1784.0295</v>
      </c>
      <c r="J105" s="88">
        <f>'50 изоляция'!J105*0.9</f>
        <v>2019.699</v>
      </c>
      <c r="K105" s="8">
        <f>'50 изоляция'!K105*0.9</f>
        <v>2324.817</v>
      </c>
      <c r="L105" s="8">
        <f>'50 изоляция'!L105*0.9</f>
        <v>2506.977</v>
      </c>
      <c r="M105" s="8">
        <f>'50 изоляция'!M105*0.9</f>
        <v>2628.7965</v>
      </c>
    </row>
    <row r="106" ht="19.5" customHeight="1" spans="1:13">
      <c r="A106" s="89" t="s">
        <v>22</v>
      </c>
      <c r="B106" s="8">
        <f>'50 изоляция'!B106*0.9</f>
        <v>1022.373</v>
      </c>
      <c r="C106" s="8">
        <f>'50 изоляция'!C106*0.9</f>
        <v>1032.6195</v>
      </c>
      <c r="D106" s="88">
        <f>'50 изоляция'!D106*0.9</f>
        <v>1066.7745</v>
      </c>
      <c r="E106" s="8">
        <f>'50 изоляция'!E106*0.9</f>
        <v>1091.8215</v>
      </c>
      <c r="F106" s="8">
        <f>'50 изоляция'!F106*0.9</f>
        <v>1154.439</v>
      </c>
      <c r="G106" s="88">
        <f>'50 изоляция'!G106*0.9</f>
        <v>1207.9485</v>
      </c>
      <c r="H106" s="8">
        <f>'50 изоляция'!H106*0.9</f>
        <v>1227.303</v>
      </c>
      <c r="I106" s="8">
        <f>'50 изоляция'!I106*0.9</f>
        <v>1376.4465</v>
      </c>
      <c r="J106" s="88">
        <f>'50 изоляция'!J106*0.9</f>
        <v>1525.59</v>
      </c>
      <c r="K106" s="8">
        <f>'50 изоляция'!K106*0.9</f>
        <v>1713.4425</v>
      </c>
      <c r="L106" s="8">
        <f>'50 изоляция'!L106*0.9</f>
        <v>1825.0155</v>
      </c>
      <c r="M106" s="8">
        <f>'50 изоляция'!M106*0.9</f>
        <v>1900.1565</v>
      </c>
    </row>
    <row r="107" ht="19.5" customHeight="1" spans="1:13">
      <c r="A107" s="89" t="s">
        <v>23</v>
      </c>
      <c r="B107" s="8">
        <f>'50 изоляция'!B107*0.9</f>
        <v>3017.025</v>
      </c>
      <c r="C107" s="8">
        <f>'50 изоляция'!C107*0.9</f>
        <v>3262.941</v>
      </c>
      <c r="D107" s="88">
        <f>'50 изоляция'!D107*0.9</f>
        <v>3413.223</v>
      </c>
      <c r="E107" s="8">
        <f>'50 изоляция'!E107*0.9</f>
        <v>3766.158</v>
      </c>
      <c r="F107" s="8">
        <f>'50 изоляция'!F107*0.9</f>
        <v>4012.074</v>
      </c>
      <c r="G107" s="88">
        <f>'50 изоляция'!G107*0.9</f>
        <v>4265.9595</v>
      </c>
      <c r="H107" s="8">
        <f>'50 изоляция'!H107*0.9</f>
        <v>4507.3215</v>
      </c>
      <c r="I107" s="8">
        <f>'50 изоляция'!I107*0.9</f>
        <v>5054.94</v>
      </c>
      <c r="J107" s="88">
        <f>'50 изоляция'!J107*0.9</f>
        <v>5615.082</v>
      </c>
      <c r="K107" s="8">
        <f>'50 изоляция'!K107*0.9</f>
        <v>7041.6225</v>
      </c>
      <c r="L107" s="8">
        <f>'50 изоляция'!L107*0.9</f>
        <v>7761.1545</v>
      </c>
      <c r="M107" s="8">
        <f>'50 изоляция'!M107*0.9</f>
        <v>8131.167</v>
      </c>
    </row>
    <row r="108" ht="19.5" customHeight="1" spans="1:13">
      <c r="A108" s="89" t="s">
        <v>24</v>
      </c>
      <c r="B108" s="8">
        <f>'50 изоляция'!B108*0.9</f>
        <v>2823.48</v>
      </c>
      <c r="C108" s="8">
        <f>'50 изоляция'!C108*0.9</f>
        <v>3069.396</v>
      </c>
      <c r="D108" s="88">
        <f>'50 изоляция'!D108*0.9</f>
        <v>3219.678</v>
      </c>
      <c r="E108" s="8">
        <f>'50 изоляция'!E108*0.9</f>
        <v>3572.613</v>
      </c>
      <c r="F108" s="8">
        <f>'50 изоляция'!F108*0.9</f>
        <v>3818.529</v>
      </c>
      <c r="G108" s="88">
        <f>'50 изоляция'!G108*0.9</f>
        <v>4072.4145</v>
      </c>
      <c r="H108" s="8">
        <f>'50 изоляция'!H108*0.9</f>
        <v>4313.7765</v>
      </c>
      <c r="I108" s="8">
        <f>'50 изоляция'!I108*0.9</f>
        <v>4861.395</v>
      </c>
      <c r="J108" s="88">
        <f>'50 изоляция'!J108*0.9</f>
        <v>5421.537</v>
      </c>
      <c r="K108" s="8">
        <f>'50 изоляция'!K108*0.9</f>
        <v>6848.0775</v>
      </c>
      <c r="L108" s="8">
        <f>'50 изоляция'!L108*0.9</f>
        <v>7567.6095</v>
      </c>
      <c r="M108" s="8">
        <f>'50 изоляция'!M108*0.9</f>
        <v>7937.622</v>
      </c>
    </row>
    <row r="109" ht="19.5" customHeight="1" spans="1:13">
      <c r="A109" s="89" t="s">
        <v>26</v>
      </c>
      <c r="B109" s="8">
        <f>'50 изоляция'!B109*0.9</f>
        <v>3619.2915</v>
      </c>
      <c r="C109" s="8">
        <f>'50 изоляция'!C109*0.9</f>
        <v>3862.9305</v>
      </c>
      <c r="D109" s="88">
        <f>'50 изоляция'!D109*0.9</f>
        <v>4177.1565</v>
      </c>
      <c r="E109" s="8">
        <f>'50 изоляция'!E109*0.9</f>
        <v>4700.8665</v>
      </c>
      <c r="F109" s="8">
        <f>'50 изоляция'!F109*0.9</f>
        <v>4758.93</v>
      </c>
      <c r="G109" s="88">
        <f>'50 изоляция'!G109*0.9</f>
        <v>5081.1255</v>
      </c>
      <c r="H109" s="8">
        <f>'50 изоляция'!H109*0.9</f>
        <v>5365.7505</v>
      </c>
      <c r="I109" s="8">
        <f>'50 изоляция'!I109*0.9</f>
        <v>5968.017</v>
      </c>
      <c r="J109" s="88">
        <f>'50 изоляция'!J109*0.9</f>
        <v>6481.4805</v>
      </c>
      <c r="K109" s="8">
        <f>'50 изоляция'!K109*0.9</f>
        <v>7960.392</v>
      </c>
      <c r="L109" s="8">
        <f>'50 изоляция'!L109*0.9</f>
        <v>8848.422</v>
      </c>
      <c r="M109" s="8">
        <f>'50 изоляция'!M109*0.9</f>
        <v>9439.3035</v>
      </c>
    </row>
    <row r="110" ht="19.5" customHeight="1" spans="1:13">
      <c r="A110" s="89" t="s">
        <v>27</v>
      </c>
      <c r="B110" s="8">
        <f>'50 изоляция'!B110*0.9</f>
        <v>4893.273</v>
      </c>
      <c r="C110" s="8">
        <f>'50 изоляция'!C110*0.9</f>
        <v>5142.6045</v>
      </c>
      <c r="D110" s="88">
        <f>'50 изоляция'!D110*0.9</f>
        <v>5373.72</v>
      </c>
      <c r="E110" s="8">
        <f>'50 изоляция'!E110*0.9</f>
        <v>5757.3945</v>
      </c>
      <c r="F110" s="8">
        <f>'50 изоляция'!F110*0.9</f>
        <v>6057.9585</v>
      </c>
      <c r="G110" s="88">
        <f>'50 изоляция'!G110*0.9</f>
        <v>6719.427</v>
      </c>
      <c r="H110" s="8">
        <f>'50 изоляция'!H110*0.9</f>
        <v>7448.067</v>
      </c>
      <c r="I110" s="8">
        <f>'50 изоляция'!I110*0.9</f>
        <v>8205.1695</v>
      </c>
      <c r="J110" s="88">
        <f>'50 изоляция'!J110*0.9</f>
        <v>9409.7025</v>
      </c>
      <c r="K110" s="8">
        <f>'50 изоляция'!K110*0.9</f>
        <v>11112.8985</v>
      </c>
      <c r="L110" s="8">
        <f>'50 изоляция'!L110*0.9</f>
        <v>12134.133</v>
      </c>
      <c r="M110" s="8">
        <f>'50 изоляция'!M110*0.9</f>
        <v>12747.7845</v>
      </c>
    </row>
    <row r="111" ht="19.5" customHeight="1" spans="1:13">
      <c r="A111" s="89" t="s">
        <v>70</v>
      </c>
      <c r="B111" s="8">
        <f>'50 изоляция'!B111*0.9</f>
        <v>8851.8375</v>
      </c>
      <c r="C111" s="8">
        <f>'50 изоляция'!C111*0.9</f>
        <v>9148.986</v>
      </c>
      <c r="D111" s="88">
        <f>'50 изоляция'!D111*0.9</f>
        <v>9404.01</v>
      </c>
      <c r="E111" s="8">
        <f>'50 изоляция'!E111*0.9</f>
        <v>9687.4965</v>
      </c>
      <c r="F111" s="8">
        <f>'50 изоляция'!F111*0.9</f>
        <v>10002.861</v>
      </c>
      <c r="G111" s="88">
        <f>'50 изоляция'!G111*0.9</f>
        <v>10699.623</v>
      </c>
      <c r="H111" s="8">
        <f>'50 изоляция'!H111*0.9</f>
        <v>11074.1895</v>
      </c>
      <c r="I111" s="8">
        <f>'50 изоляция'!I111*0.9</f>
        <v>11883.663</v>
      </c>
      <c r="J111" s="88">
        <f>'50 изоляция'!J111*0.9</f>
        <v>13356.882</v>
      </c>
      <c r="K111" s="8">
        <f>'50 изоляция'!K111*0.9</f>
        <v>15888.906</v>
      </c>
      <c r="L111" s="8">
        <f>'50 изоляция'!L111*0.9</f>
        <v>17408.8035</v>
      </c>
      <c r="M111" s="8">
        <f>'50 изоляция'!M111*0.9</f>
        <v>18465.3315</v>
      </c>
    </row>
    <row r="112" ht="19.5" customHeight="1" spans="1:13">
      <c r="A112" s="89" t="s">
        <v>71</v>
      </c>
      <c r="B112" s="8">
        <f>'50 изоляция'!B112*0.9</f>
        <v>1061.082</v>
      </c>
      <c r="C112" s="8">
        <f>'50 изоляция'!C112*0.9</f>
        <v>1083.852</v>
      </c>
      <c r="D112" s="88">
        <f>'50 изоляция'!D112*0.9</f>
        <v>1161.27</v>
      </c>
      <c r="E112" s="8">
        <f>'50 изоляция'!E112*0.9</f>
        <v>1287.6435</v>
      </c>
      <c r="F112" s="8">
        <f>'50 изоляция'!F112*0.9</f>
        <v>1383.2775</v>
      </c>
      <c r="G112" s="88">
        <f>'50 изоляция'!G112*0.9</f>
        <v>1467.5265</v>
      </c>
      <c r="H112" s="8">
        <f>'50 изоляция'!H112*0.9</f>
        <v>1592.7615</v>
      </c>
      <c r="I112" s="8">
        <f>'50 изоляция'!I112*0.9</f>
        <v>1645.1325</v>
      </c>
      <c r="J112" s="88">
        <f>'50 изоляция'!J112*0.9</f>
        <v>1838.6775</v>
      </c>
      <c r="K112" s="8">
        <f>'50 изоляция'!K112*0.9</f>
        <v>2103.948</v>
      </c>
      <c r="L112" s="8">
        <f>'50 изоляция'!L112*0.9</f>
        <v>2262.1995</v>
      </c>
      <c r="M112" s="8">
        <f>'50 изоляция'!M112*0.9</f>
        <v>2357.8335</v>
      </c>
    </row>
    <row r="113" ht="19.5" customHeight="1" spans="1:14">
      <c r="A113" s="89" t="s">
        <v>72</v>
      </c>
      <c r="B113" s="8">
        <f>'50 изоляция'!B113*0.9</f>
        <v>2972.6235</v>
      </c>
      <c r="C113" s="8">
        <f>'50 изоляция'!C113*0.9</f>
        <v>3064.842</v>
      </c>
      <c r="D113" s="88">
        <f>'50 изоляция'!D113*0.9</f>
        <v>3106.9665</v>
      </c>
      <c r="E113" s="8">
        <f>'50 изоляция'!E113*0.9</f>
        <v>3227.6475</v>
      </c>
      <c r="F113" s="8">
        <f>'50 изоляция'!F113*0.9</f>
        <v>3334.6665</v>
      </c>
      <c r="G113" s="88">
        <f>'50 изоляция'!G113*0.9</f>
        <v>3590.829</v>
      </c>
      <c r="H113" s="8">
        <f>'50 изоляция'!H113*0.9</f>
        <v>3710.3715</v>
      </c>
      <c r="I113" s="8">
        <f>'50 изоляция'!I113*0.9</f>
        <v>3971.088</v>
      </c>
      <c r="J113" s="88">
        <f>'50 изоляция'!J113*0.9</f>
        <v>4454.9505</v>
      </c>
      <c r="K113" s="8">
        <f>'50 изоляция'!K113*0.9</f>
        <v>5374.8585</v>
      </c>
      <c r="L113" s="8">
        <f>'50 изоляция'!L113*0.9</f>
        <v>5925.8925</v>
      </c>
      <c r="M113" s="8">
        <f>'50 изоляция'!M113*0.9</f>
        <v>6257.196</v>
      </c>
    </row>
    <row r="114" ht="19.5" customHeight="1" spans="1:14">
      <c r="A114" s="89" t="s">
        <v>73</v>
      </c>
      <c r="B114" s="8">
        <f>'50 изоляция'!B114*0.9</f>
        <v>1204.533</v>
      </c>
      <c r="C114" s="8">
        <f>'50 изоляция'!C114*0.9</f>
        <v>1254.627</v>
      </c>
      <c r="D114" s="88">
        <f>'50 изоляция'!D114*0.9</f>
        <v>1344.5685</v>
      </c>
      <c r="E114" s="8">
        <f>'50 изоляция'!E114*0.9</f>
        <v>1417.4325</v>
      </c>
      <c r="F114" s="8">
        <f>'50 изоляция'!F114*0.9</f>
        <v>1470.942</v>
      </c>
      <c r="G114" s="88">
        <f>'50 изоляция'!G114*0.9</f>
        <v>1648.548</v>
      </c>
      <c r="H114" s="8">
        <f>'50 изоляция'!H114*0.9</f>
        <v>1764.675</v>
      </c>
      <c r="I114" s="8">
        <f>'50 изоляция'!I114*0.9</f>
        <v>2054.9925</v>
      </c>
      <c r="J114" s="88">
        <f>'50 изоляция'!J114*0.9</f>
        <v>2229.183</v>
      </c>
      <c r="K114" s="8">
        <f>'50 изоляция'!K114*0.9</f>
        <v>2734.677</v>
      </c>
      <c r="L114" s="8">
        <f>'50 изоляция'!L114*0.9</f>
        <v>3037.518</v>
      </c>
      <c r="M114" s="8">
        <f>'50 изоляция'!M114*0.9</f>
        <v>3219.678</v>
      </c>
    </row>
    <row r="115" ht="19.5" customHeight="1" spans="1:14">
      <c r="A115" s="89" t="s">
        <v>74</v>
      </c>
      <c r="B115" s="8">
        <f>'50 изоляция'!B115*0.9</f>
        <v>1521.036</v>
      </c>
      <c r="C115" s="8">
        <f>'50 изоляция'!C115*0.9</f>
        <v>1597.3155</v>
      </c>
      <c r="D115" s="88">
        <f>'50 изоляция'!D115*0.9</f>
        <v>1703.196</v>
      </c>
      <c r="E115" s="8">
        <f>'50 изоляция'!E115*0.9</f>
        <v>1764.675</v>
      </c>
      <c r="F115" s="8">
        <f>'50 изоляция'!F115*0.9</f>
        <v>1859.1705</v>
      </c>
      <c r="G115" s="88">
        <f>'50 изоляция'!G115*0.9</f>
        <v>2164.2885</v>
      </c>
      <c r="H115" s="8">
        <f>'50 изоляция'!H115*0.9</f>
        <v>2310.0165</v>
      </c>
      <c r="I115" s="8">
        <f>'50 изоляция'!I115*0.9</f>
        <v>2563.902</v>
      </c>
      <c r="J115" s="88">
        <f>'50 изоляция'!J115*0.9</f>
        <v>2858.7735</v>
      </c>
      <c r="K115" s="8">
        <f>'50 изоляция'!K115*0.9</f>
        <v>3431.439</v>
      </c>
      <c r="L115" s="8">
        <f>'50 изоляция'!L115*0.9</f>
        <v>3775.266</v>
      </c>
      <c r="M115" s="8">
        <f>'50 изоляция'!M115*0.9</f>
        <v>3981.3345</v>
      </c>
    </row>
    <row r="116" ht="19.5" customHeight="1" spans="1:14">
      <c r="A116" s="89" t="s">
        <v>77</v>
      </c>
      <c r="B116" s="8">
        <f>'50 изоляция'!B116*0.9</f>
        <v>2008.314</v>
      </c>
      <c r="C116" s="8">
        <f>'50 изоляция'!C116*0.9</f>
        <v>2061.8235</v>
      </c>
      <c r="D116" s="88">
        <f>'50 изоляция'!D116*0.9</f>
        <v>2229.183</v>
      </c>
      <c r="E116" s="8">
        <f>'50 изоляция'!E116*0.9</f>
        <v>2419.3125</v>
      </c>
      <c r="F116" s="8">
        <f>'50 изоляция'!F116*0.9</f>
        <v>2565.0405</v>
      </c>
      <c r="G116" s="88">
        <f>'50 изоляция'!G116*0.9</f>
        <v>2902.0365</v>
      </c>
      <c r="H116" s="8">
        <f>'50 изоляция'!H116*0.9</f>
        <v>3170.7225</v>
      </c>
      <c r="I116" s="8">
        <f>'50 изоляция'!I116*0.9</f>
        <v>3440.547</v>
      </c>
      <c r="J116" s="88">
        <f>'50 изоляция'!J116*0.9</f>
        <v>3762.7425</v>
      </c>
      <c r="K116" s="8">
        <f>'50 изоляция'!K116*0.9</f>
        <v>4567.662</v>
      </c>
      <c r="L116" s="8">
        <f>'50 изоляция'!L116*0.9</f>
        <v>5050.386</v>
      </c>
      <c r="M116" s="8">
        <f>'50 изоляция'!M116*0.9</f>
        <v>5372.5815</v>
      </c>
    </row>
    <row r="117" ht="19.5" customHeight="1" spans="1:14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ht="19.5" customHeight="1" spans="1:14">
      <c r="A118" s="120" t="s">
        <v>35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5"/>
    </row>
    <row r="119" ht="19.5" customHeight="1" spans="1:14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83" t="s">
        <v>99</v>
      </c>
    </row>
    <row r="120" ht="19.5" customHeight="1" spans="1:14">
      <c r="A120" s="35"/>
      <c r="B120" s="35"/>
      <c r="C120" s="35"/>
      <c r="D120" s="35"/>
      <c r="E120" s="35"/>
      <c r="F120" s="35"/>
      <c r="G120" s="35"/>
      <c r="H120" s="35"/>
      <c r="I120" s="35"/>
      <c r="J120" s="35"/>
    </row>
    <row r="121" ht="19.5" customHeight="1" spans="1:14">
      <c r="A121" s="92" t="s">
        <v>119</v>
      </c>
    </row>
    <row r="122" ht="19.5" customHeight="1" spans="1:14">
      <c r="A122" s="92" t="s">
        <v>118</v>
      </c>
      <c r="K122" s="35"/>
      <c r="L122" s="35"/>
      <c r="M122" s="35"/>
    </row>
    <row r="123" ht="19.5" customHeight="1" spans="1:14">
      <c r="A123" s="92" t="s">
        <v>102</v>
      </c>
      <c r="K123" s="35"/>
      <c r="L123" s="35"/>
      <c r="M123" s="35"/>
    </row>
    <row r="124" ht="27" customHeight="1" spans="1:14">
      <c r="A124" s="17"/>
      <c r="B124" s="86" t="s">
        <v>103</v>
      </c>
      <c r="C124" s="86" t="s">
        <v>104</v>
      </c>
      <c r="D124" s="86" t="s">
        <v>105</v>
      </c>
      <c r="E124" s="86" t="s">
        <v>106</v>
      </c>
      <c r="F124" s="86" t="s">
        <v>107</v>
      </c>
      <c r="G124" s="86" t="s">
        <v>108</v>
      </c>
      <c r="H124" s="86" t="s">
        <v>109</v>
      </c>
      <c r="I124" s="86" t="s">
        <v>110</v>
      </c>
      <c r="J124" s="86" t="s">
        <v>111</v>
      </c>
      <c r="K124" s="86" t="s">
        <v>112</v>
      </c>
      <c r="L124" s="86" t="s">
        <v>113</v>
      </c>
      <c r="M124" s="86" t="s">
        <v>114</v>
      </c>
    </row>
    <row r="125" ht="19.5" customHeight="1" spans="1:14">
      <c r="A125" s="89" t="s">
        <v>68</v>
      </c>
      <c r="B125" s="8">
        <f>'50 изоляция'!B125*0.9</f>
        <v>2907.729</v>
      </c>
      <c r="C125" s="8">
        <f>'50 изоляция'!C125*0.9</f>
        <v>3165.03</v>
      </c>
      <c r="D125" s="88">
        <f>'50 изоляция'!D125*0.9</f>
        <v>3369.96</v>
      </c>
      <c r="E125" s="8">
        <f>'50 изоляция'!E125*0.9</f>
        <v>3652.308</v>
      </c>
      <c r="F125" s="8">
        <f>'50 изоляция'!F125*0.9</f>
        <v>3873.177</v>
      </c>
      <c r="G125" s="88">
        <f>'50 изоляция'!G125*0.9</f>
        <v>4042.8135</v>
      </c>
      <c r="H125" s="8">
        <f>'50 изоляция'!H125*0.9</f>
        <v>4433.319</v>
      </c>
      <c r="I125" s="8">
        <f>'50 изоляция'!I125*0.9</f>
        <v>4840.902</v>
      </c>
      <c r="J125" s="88">
        <f>'50 изоляция'!J125*0.9</f>
        <v>5205.222</v>
      </c>
      <c r="K125" s="8">
        <f>'50 изоляция'!K125*0.9</f>
        <v>6648.84</v>
      </c>
      <c r="L125" s="8">
        <f>'50 изоляция'!L125*0.9</f>
        <v>7286.4</v>
      </c>
      <c r="M125" s="8">
        <f>'50 изоляция'!M125*0.9</f>
        <v>7832.88</v>
      </c>
    </row>
    <row r="126" ht="19.5" customHeight="1" spans="1:14">
      <c r="A126" s="89" t="s">
        <v>18</v>
      </c>
      <c r="B126" s="8">
        <f>'50 изоляция'!B126*0.9</f>
        <v>2509.254</v>
      </c>
      <c r="C126" s="8">
        <f>'50 изоляция'!C126*0.9</f>
        <v>2676.6135</v>
      </c>
      <c r="D126" s="88">
        <f>'50 изоляция'!D126*0.9</f>
        <v>2914.56</v>
      </c>
      <c r="E126" s="8">
        <f>'50 изоляция'!E126*0.9</f>
        <v>3088.7505</v>
      </c>
      <c r="F126" s="8">
        <f>'50 изоляция'!F126*0.9</f>
        <v>3278.88</v>
      </c>
      <c r="G126" s="88">
        <f>'50 изоляция'!G126*0.9</f>
        <v>3363.129</v>
      </c>
      <c r="H126" s="8">
        <f>'50 изоляция'!H126*0.9</f>
        <v>3816.252</v>
      </c>
      <c r="I126" s="8">
        <f>'50 изоляция'!I126*0.9</f>
        <v>8334.9585</v>
      </c>
      <c r="J126" s="88">
        <f>'50 изоляция'!J126*0.9</f>
        <v>4371.84</v>
      </c>
      <c r="K126" s="8">
        <f>'50 изоляция'!K126*0.9</f>
        <v>5646.96</v>
      </c>
      <c r="L126" s="8">
        <f>'50 изоляция'!L126*0.9</f>
        <v>6193.44</v>
      </c>
      <c r="M126" s="8">
        <f>'50 изоляция'!M126*0.9</f>
        <v>6694.38</v>
      </c>
    </row>
    <row r="127" ht="19.5" customHeight="1" spans="1:14">
      <c r="A127" s="89" t="s">
        <v>19</v>
      </c>
      <c r="B127" s="8">
        <f>'50 изоляция'!B127*0.9</f>
        <v>2047.023</v>
      </c>
      <c r="C127" s="8">
        <f>'50 изоляция'!C127*0.9</f>
        <v>2189.3355</v>
      </c>
      <c r="D127" s="88">
        <f>'50 изоляция'!D127*0.9</f>
        <v>2368.08</v>
      </c>
      <c r="E127" s="8">
        <f>'50 изоляция'!E127*0.9</f>
        <v>2524.0545</v>
      </c>
      <c r="F127" s="8">
        <f>'50 изоляция'!F127*0.9</f>
        <v>2680.029</v>
      </c>
      <c r="G127" s="88">
        <f>'50 изоляция'!G127*0.9</f>
        <v>2957.823</v>
      </c>
      <c r="H127" s="8">
        <f>'50 изоляция'!H127*0.9</f>
        <v>3108.105</v>
      </c>
      <c r="I127" s="8">
        <f>'50 изоляция'!I127*0.9</f>
        <v>3448.5165</v>
      </c>
      <c r="J127" s="88">
        <f>'50 изоляция'!J127*0.9</f>
        <v>3643.2</v>
      </c>
      <c r="K127" s="8">
        <f>'50 изоляция'!K127*0.9</f>
        <v>4673.5425</v>
      </c>
      <c r="L127" s="8">
        <f>'50 изоляция'!L127*0.9</f>
        <v>5156.2665</v>
      </c>
      <c r="M127" s="8">
        <f>'50 изоляция'!M127*0.9</f>
        <v>5477.3235</v>
      </c>
    </row>
    <row r="128" ht="19.5" customHeight="1" spans="1:14">
      <c r="A128" s="89" t="s">
        <v>20</v>
      </c>
      <c r="B128" s="8">
        <f>'50 изоляция'!B128*0.9</f>
        <v>1869.417</v>
      </c>
      <c r="C128" s="8">
        <f>'50 изоляция'!C128*0.9</f>
        <v>1912.68</v>
      </c>
      <c r="D128" s="88">
        <f>'50 изоляция'!D128*0.9</f>
        <v>2020.8375</v>
      </c>
      <c r="E128" s="8">
        <f>'50 изоляция'!E128*0.9</f>
        <v>2097.117</v>
      </c>
      <c r="F128" s="8">
        <f>'50 изоляция'!F128*0.9</f>
        <v>2295.216</v>
      </c>
      <c r="G128" s="88">
        <f>'50 изоляция'!G128*0.9</f>
        <v>2393.127</v>
      </c>
      <c r="H128" s="8">
        <f>'50 изоляция'!H128*0.9</f>
        <v>2462.5755</v>
      </c>
      <c r="I128" s="8">
        <f>'50 изоляция'!I128*0.9</f>
        <v>2652.705</v>
      </c>
      <c r="J128" s="88">
        <f>'50 изоляция'!J128*0.9</f>
        <v>3042.072</v>
      </c>
      <c r="K128" s="8">
        <f>'50 изоляция'!K128*0.9</f>
        <v>3565.782</v>
      </c>
      <c r="L128" s="8">
        <f>'50 изоляция'!L128*0.9</f>
        <v>3880.008</v>
      </c>
      <c r="M128" s="8">
        <f>'50 изоляция'!M128*0.9</f>
        <v>4068.999</v>
      </c>
    </row>
    <row r="129" ht="19.5" customHeight="1" spans="1:14">
      <c r="A129" s="89" t="s">
        <v>21</v>
      </c>
      <c r="B129" s="8">
        <f>'50 изоляция'!B129*0.9</f>
        <v>1486.881</v>
      </c>
      <c r="C129" s="8">
        <f>'50 изоляция'!C129*0.9</f>
        <v>1518.759</v>
      </c>
      <c r="D129" s="88">
        <f>'50 изоляция'!D129*0.9</f>
        <v>1596.177</v>
      </c>
      <c r="E129" s="8">
        <f>'50 изоляция'!E129*0.9</f>
        <v>1649.6865</v>
      </c>
      <c r="F129" s="8">
        <f>'50 изоляция'!F129*0.9</f>
        <v>1791.999</v>
      </c>
      <c r="G129" s="88">
        <f>'50 изоляция'!G129*0.9</f>
        <v>1867.14</v>
      </c>
      <c r="H129" s="8">
        <f>'50 изоляция'!H129*0.9</f>
        <v>1917.234</v>
      </c>
      <c r="I129" s="8">
        <f>'50 изоляция'!I129*0.9</f>
        <v>2052.7155</v>
      </c>
      <c r="J129" s="88">
        <f>'50 изоляция'!J129*0.9</f>
        <v>2336.202</v>
      </c>
      <c r="K129" s="8">
        <f>'50 изоляция'!K129*0.9</f>
        <v>2716.461</v>
      </c>
      <c r="L129" s="8">
        <f>'50 изоляция'!L129*0.9</f>
        <v>2945.2995</v>
      </c>
      <c r="M129" s="8">
        <f>'50 изоляция'!M129*0.9</f>
        <v>3081.9195</v>
      </c>
    </row>
    <row r="130" ht="19.5" customHeight="1" spans="1:14">
      <c r="A130" s="89" t="s">
        <v>22</v>
      </c>
      <c r="B130" s="8">
        <f>'50 изоляция'!B130*0.9</f>
        <v>1120.284</v>
      </c>
      <c r="C130" s="8">
        <f>'50 изоляция'!C130*0.9</f>
        <v>1137.3615</v>
      </c>
      <c r="D130" s="88">
        <f>'50 изоляция'!D130*0.9</f>
        <v>1181.763</v>
      </c>
      <c r="E130" s="8">
        <f>'50 изоляция'!E130*0.9</f>
        <v>1211.364</v>
      </c>
      <c r="F130" s="8">
        <f>'50 изоляция'!F130*0.9</f>
        <v>1292.1975</v>
      </c>
      <c r="G130" s="88">
        <f>'50 изоляция'!G130*0.9</f>
        <v>1345.707</v>
      </c>
      <c r="H130" s="8">
        <f>'50 изоляция'!H130*0.9</f>
        <v>1373.031</v>
      </c>
      <c r="I130" s="8">
        <f>'50 изоляция'!I130*0.9</f>
        <v>1450.449</v>
      </c>
      <c r="J130" s="88">
        <f>'50 изоляция'!J130*0.9</f>
        <v>1622.3625</v>
      </c>
      <c r="K130" s="8">
        <f>'50 изоляция'!K130*0.9</f>
        <v>1846.647</v>
      </c>
      <c r="L130" s="8">
        <f>'50 изоляция'!L130*0.9</f>
        <v>1982.1285</v>
      </c>
      <c r="M130" s="8">
        <f>'50 изоляция'!M130*0.9</f>
        <v>2062.962</v>
      </c>
    </row>
    <row r="131" ht="19.5" customHeight="1" spans="1:14">
      <c r="A131" s="89" t="s">
        <v>23</v>
      </c>
      <c r="B131" s="8">
        <f>'50 изоляция'!B131*0.9</f>
        <v>3367.683</v>
      </c>
      <c r="C131" s="8">
        <f>'50 изоляция'!C131*0.9</f>
        <v>3591.9675</v>
      </c>
      <c r="D131" s="88">
        <f>'50 изоляция'!D131*0.9</f>
        <v>3950.595</v>
      </c>
      <c r="E131" s="8">
        <f>'50 изоляция'!E131*0.9</f>
        <v>4210.173</v>
      </c>
      <c r="F131" s="8">
        <f>'50 изоляция'!F131*0.9</f>
        <v>4551.723</v>
      </c>
      <c r="G131" s="88">
        <f>'50 изоляция'!G131*0.9</f>
        <v>5007.123</v>
      </c>
      <c r="H131" s="8">
        <f>'50 изоляция'!H131*0.9</f>
        <v>5461.3845</v>
      </c>
      <c r="I131" s="8">
        <f>'50 изоляция'!I131*0.9</f>
        <v>5635.575</v>
      </c>
      <c r="J131" s="88">
        <f>'50 изоляция'!J131*0.9</f>
        <v>6196.8555</v>
      </c>
      <c r="K131" s="8">
        <f>'50 изоляция'!K131*0.9</f>
        <v>7812.387</v>
      </c>
      <c r="L131" s="8">
        <f>'50 изоляция'!L131*0.9</f>
        <v>8781.2505</v>
      </c>
      <c r="M131" s="8">
        <f>'50 изоляция'!M131*0.9</f>
        <v>9426.78</v>
      </c>
    </row>
    <row r="132" ht="19.5" customHeight="1" spans="1:14">
      <c r="A132" s="89" t="s">
        <v>24</v>
      </c>
      <c r="B132" s="8">
        <f>'50 изоляция'!B132*0.9</f>
        <v>3185.523</v>
      </c>
      <c r="C132" s="8">
        <f>'50 изоляция'!C132*0.9</f>
        <v>3409.8075</v>
      </c>
      <c r="D132" s="88">
        <f>'50 изоляция'!D132*0.9</f>
        <v>3768.435</v>
      </c>
      <c r="E132" s="8">
        <f>'50 изоляция'!E132*0.9</f>
        <v>4028.013</v>
      </c>
      <c r="F132" s="8">
        <f>'50 изоляция'!F132*0.9</f>
        <v>4369.563</v>
      </c>
      <c r="G132" s="88">
        <f>'50 изоляция'!G132*0.9</f>
        <v>4824.963</v>
      </c>
      <c r="H132" s="8">
        <f>'50 изоляция'!H132*0.9</f>
        <v>5279.2245</v>
      </c>
      <c r="I132" s="8">
        <f>'50 изоляция'!I132*0.9</f>
        <v>5453.415</v>
      </c>
      <c r="J132" s="88">
        <f>'50 изоляция'!J132*0.9</f>
        <v>6014.6955</v>
      </c>
      <c r="K132" s="8">
        <f>'50 изоляция'!K132*0.9</f>
        <v>7630.227</v>
      </c>
      <c r="L132" s="8">
        <f>'50 изоляция'!L132*0.9</f>
        <v>8599.0905</v>
      </c>
      <c r="M132" s="8">
        <f>'50 изоляция'!M132*0.9</f>
        <v>9244.62</v>
      </c>
    </row>
    <row r="133" ht="19.5" customHeight="1" spans="1:14">
      <c r="A133" s="89" t="s">
        <v>26</v>
      </c>
      <c r="B133" s="8">
        <f>'50 изоляция'!B133*0.9</f>
        <v>3988.1655</v>
      </c>
      <c r="C133" s="8">
        <f>'50 изоляция'!C133*0.9</f>
        <v>4368.4245</v>
      </c>
      <c r="D133" s="88">
        <f>'50 изоляция'!D133*0.9</f>
        <v>4706.559</v>
      </c>
      <c r="E133" s="8">
        <f>'50 изоляция'!E133*0.9</f>
        <v>5068.602</v>
      </c>
      <c r="F133" s="8">
        <f>'50 изоляция'!F133*0.9</f>
        <v>5274.6705</v>
      </c>
      <c r="G133" s="88">
        <f>'50 изоляция'!G133*0.9</f>
        <v>5673.1455</v>
      </c>
      <c r="H133" s="8">
        <f>'50 изоляция'!H133*0.9</f>
        <v>5927.031</v>
      </c>
      <c r="I133" s="8">
        <f>'50 изоляция'!I133*0.9</f>
        <v>6480.342</v>
      </c>
      <c r="J133" s="88">
        <f>'50 изоляция'!J133*0.9</f>
        <v>7188.489</v>
      </c>
      <c r="K133" s="8">
        <f>'50 изоляция'!K133*0.9</f>
        <v>8903.07</v>
      </c>
      <c r="L133" s="8">
        <f>'50 изоляция'!L133*0.9</f>
        <v>9931.1355</v>
      </c>
      <c r="M133" s="8">
        <f>'50 изоляция'!M133*0.9</f>
        <v>10617.651</v>
      </c>
    </row>
    <row r="134" ht="19.5" customHeight="1" spans="1:14">
      <c r="A134" s="89" t="s">
        <v>27</v>
      </c>
      <c r="B134" s="8">
        <f>'50 изоляция'!B134*0.9</f>
        <v>5262.147</v>
      </c>
      <c r="C134" s="8">
        <f>'50 изоляция'!C134*0.9</f>
        <v>5527.4175</v>
      </c>
      <c r="D134" s="88">
        <f>'50 изоляция'!D134*0.9</f>
        <v>5738.04</v>
      </c>
      <c r="E134" s="8">
        <f>'50 изоляция'!E134*0.9</f>
        <v>6071.6205</v>
      </c>
      <c r="F134" s="8">
        <f>'50 изоляция'!F134*0.9</f>
        <v>6417.7245</v>
      </c>
      <c r="G134" s="88">
        <f>'50 изоляция'!G134*0.9</f>
        <v>6947.127</v>
      </c>
      <c r="H134" s="8">
        <f>'50 изоляция'!H134*0.9</f>
        <v>7393.419</v>
      </c>
      <c r="I134" s="8">
        <f>'50 изоляция'!I134*0.9</f>
        <v>8381.637</v>
      </c>
      <c r="J134" s="88">
        <f>'50 изоляция'!J134*0.9</f>
        <v>9894.7035</v>
      </c>
      <c r="K134" s="8">
        <f>'50 изоляция'!K134*0.9</f>
        <v>11980.4355</v>
      </c>
      <c r="L134" s="8">
        <f>'50 изоляция'!L134*0.9</f>
        <v>1322.937</v>
      </c>
      <c r="M134" s="8">
        <f>'50 изоляция'!M134*0.9</f>
        <v>13983.057</v>
      </c>
    </row>
    <row r="135" ht="19.5" customHeight="1" spans="1:14">
      <c r="A135" s="89" t="s">
        <v>70</v>
      </c>
      <c r="B135" s="8">
        <f>'50 изоляция'!B135*0.9</f>
        <v>9397.179</v>
      </c>
      <c r="C135" s="8">
        <f>'50 изоляция'!C135*0.9</f>
        <v>9715.959</v>
      </c>
      <c r="D135" s="88">
        <f>'50 изоляция'!D135*0.9</f>
        <v>9983.5065</v>
      </c>
      <c r="E135" s="8">
        <f>'50 изоляция'!E135*0.9</f>
        <v>10285.209</v>
      </c>
      <c r="F135" s="8">
        <f>'50 изоляция'!F135*0.9</f>
        <v>10622.205</v>
      </c>
      <c r="G135" s="88">
        <f>'50 изоляция'!G135*0.9</f>
        <v>11371.338</v>
      </c>
      <c r="H135" s="8">
        <f>'50 изоляция'!H135*0.9</f>
        <v>11778.921</v>
      </c>
      <c r="I135" s="8">
        <f>'50 изоляция'!I135*0.9</f>
        <v>12662.397</v>
      </c>
      <c r="J135" s="88">
        <f>'50 изоляция'!J135*0.9</f>
        <v>14154.9705</v>
      </c>
      <c r="K135" s="8">
        <f>'50 изоляция'!K135*0.9</f>
        <v>16749.612</v>
      </c>
      <c r="L135" s="8">
        <f>'50 изоляция'!L135*0.9</f>
        <v>18305.9415</v>
      </c>
      <c r="M135" s="8">
        <f>'50 изоляция'!M135*0.9</f>
        <v>19240.65</v>
      </c>
    </row>
    <row r="136" ht="19.5" customHeight="1" spans="1:14">
      <c r="A136" s="89" t="s">
        <v>71</v>
      </c>
      <c r="B136" s="8">
        <f>'50 изоляция'!B136*0.9</f>
        <v>1090.683</v>
      </c>
      <c r="C136" s="8">
        <f>'50 изоляция'!C136*0.9</f>
        <v>1111.176</v>
      </c>
      <c r="D136" s="88">
        <f>'50 изоляция'!D136*0.9</f>
        <v>1184.04</v>
      </c>
      <c r="E136" s="8">
        <f>'50 изоляция'!E136*0.9</f>
        <v>1302.444</v>
      </c>
      <c r="F136" s="8">
        <f>'50 изоляция'!F136*0.9</f>
        <v>1392.3855</v>
      </c>
      <c r="G136" s="88">
        <f>'50 изоляция'!G136*0.9</f>
        <v>1472.0805</v>
      </c>
      <c r="H136" s="8">
        <f>'50 изоляция'!H136*0.9</f>
        <v>1590.4845</v>
      </c>
      <c r="I136" s="8">
        <f>'50 изоляция'!I136*0.9</f>
        <v>1639.44</v>
      </c>
      <c r="J136" s="88">
        <f>'50 изоляция'!J136*0.9</f>
        <v>1821.6</v>
      </c>
      <c r="K136" s="8">
        <f>'50 изоляция'!K136*0.9</f>
        <v>2070.9315</v>
      </c>
      <c r="L136" s="8">
        <f>'50 изоляция'!L136*0.9</f>
        <v>2220.075</v>
      </c>
      <c r="M136" s="8">
        <f>'50 изоляция'!M136*0.9</f>
        <v>2311.155</v>
      </c>
    </row>
    <row r="137" ht="19.5" customHeight="1" spans="1:14">
      <c r="A137" s="89" t="s">
        <v>81</v>
      </c>
      <c r="B137" s="8">
        <f>'50 изоляция'!B137*0.9</f>
        <v>3050.0415</v>
      </c>
      <c r="C137" s="8">
        <f>'50 изоляция'!C137*0.9</f>
        <v>3179.8305</v>
      </c>
      <c r="D137" s="88">
        <f>'50 изоляция'!D137*0.9</f>
        <v>3223.0935</v>
      </c>
      <c r="E137" s="8">
        <f>'50 изоляция'!E137*0.9</f>
        <v>3366.5445</v>
      </c>
      <c r="F137" s="8">
        <f>'50 изоляция'!F137*0.9</f>
        <v>3519.1035</v>
      </c>
      <c r="G137" s="88">
        <f>'50 изоляция'!G137*0.9</f>
        <v>3887.9775</v>
      </c>
      <c r="H137" s="8">
        <f>'50 изоляция'!H137*0.9</f>
        <v>4150.971</v>
      </c>
      <c r="I137" s="8">
        <f>'50 изоляция'!I137*0.9</f>
        <v>4561.9695</v>
      </c>
      <c r="J137" s="88">
        <f>'50 изоляция'!J137*0.9</f>
        <v>5105.034</v>
      </c>
      <c r="K137" s="8">
        <f>'50 изоляция'!K137*0.9</f>
        <v>6276.5505</v>
      </c>
      <c r="L137" s="8">
        <f>'50 изоляция'!L137*0.9</f>
        <v>6979.005</v>
      </c>
      <c r="M137" s="8">
        <f>'50 изоляция'!M137*0.9</f>
        <v>7401.3885</v>
      </c>
    </row>
    <row r="138" ht="19.5" customHeight="1" spans="1:14">
      <c r="A138" s="89" t="s">
        <v>82</v>
      </c>
      <c r="B138" s="8">
        <f>'50 изоляция'!B138*0.9</f>
        <v>3960.8415</v>
      </c>
      <c r="C138" s="8">
        <f>'50 изоляция'!C138*0.9</f>
        <v>4090.6305</v>
      </c>
      <c r="D138" s="88">
        <f>'50 изоляция'!D138*0.9</f>
        <v>4133.8935</v>
      </c>
      <c r="E138" s="8">
        <f>'50 изоляция'!E138*0.9</f>
        <v>4277.3445</v>
      </c>
      <c r="F138" s="8">
        <f>'50 изоляция'!F138*0.9</f>
        <v>4429.9035</v>
      </c>
      <c r="G138" s="88">
        <f>'50 изоляция'!G138*0.9</f>
        <v>4798.7775</v>
      </c>
      <c r="H138" s="8">
        <f>'50 изоляция'!H138*0.9</f>
        <v>5061.771</v>
      </c>
      <c r="I138" s="8">
        <f>'50 изоляция'!I138*0.9</f>
        <v>5472.7695</v>
      </c>
      <c r="J138" s="88">
        <f>'50 изоляция'!J138*0.9</f>
        <v>6015.834</v>
      </c>
      <c r="K138" s="8">
        <f>'50 изоляция'!K138*0.9</f>
        <v>7187.3505</v>
      </c>
      <c r="L138" s="8">
        <f>'50 изоляция'!L138*0.9</f>
        <v>7889.805</v>
      </c>
      <c r="M138" s="8">
        <f>'50 изоляция'!M138*0.9</f>
        <v>8312.1885</v>
      </c>
    </row>
    <row r="139" ht="19.5" customHeight="1" spans="1:14">
      <c r="A139" s="89" t="s">
        <v>39</v>
      </c>
      <c r="B139" s="8">
        <f>'50 изоляция'!B139*0.9</f>
        <v>2732.4</v>
      </c>
      <c r="C139" s="8">
        <f>'50 изоляция'!C139*0.9</f>
        <v>3088.7505</v>
      </c>
      <c r="D139" s="88">
        <f>'50 изоляция'!D139*0.9</f>
        <v>3132.0135</v>
      </c>
      <c r="E139" s="8">
        <f>'50 изоляция'!E139*0.9</f>
        <v>3275.4645</v>
      </c>
      <c r="F139" s="8">
        <f>'50 изоляция'!F139*0.9</f>
        <v>3428.0235</v>
      </c>
      <c r="G139" s="88">
        <f>'50 изоляция'!G139*0.9</f>
        <v>3705.8175</v>
      </c>
      <c r="H139" s="8">
        <f>'50 изоляция'!H139*0.9</f>
        <v>3877.731</v>
      </c>
      <c r="I139" s="8">
        <f>'50 изоляция'!I139*0.9</f>
        <v>4197.6495</v>
      </c>
      <c r="J139" s="88">
        <f>'50 изоляция'!J139*0.9</f>
        <v>4647.357</v>
      </c>
      <c r="K139" s="8">
        <f>'50 изоляция'!K139*0.9</f>
        <v>5730.0705</v>
      </c>
      <c r="L139" s="8">
        <f>'50 изоляция'!L139*0.9</f>
        <v>6379.0155</v>
      </c>
      <c r="M139" s="8">
        <f>'50 изоляция'!M139*0.9</f>
        <v>6769.521</v>
      </c>
    </row>
    <row r="140" ht="19.5" customHeight="1" spans="1:14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</row>
    <row r="141" ht="19.5" customHeight="1" spans="1:14">
      <c r="A141" s="120" t="s">
        <v>35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ht="19.5" customHeight="1" spans="1:14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83" t="s">
        <v>99</v>
      </c>
    </row>
    <row r="143" ht="19.5" customHeight="1" spans="1:14">
      <c r="A143" s="35"/>
      <c r="B143" s="35"/>
      <c r="C143" s="35"/>
      <c r="D143" s="35"/>
      <c r="E143" s="35"/>
      <c r="F143" s="35"/>
      <c r="G143" s="35"/>
      <c r="H143" s="35"/>
      <c r="I143" s="35"/>
      <c r="J143" s="35"/>
    </row>
    <row r="144" ht="19.5" customHeight="1" spans="1:14">
      <c r="A144" s="92" t="s">
        <v>120</v>
      </c>
    </row>
    <row r="145" ht="19.5" customHeight="1" spans="1:13">
      <c r="A145" s="92" t="s">
        <v>101</v>
      </c>
      <c r="K145" s="35"/>
      <c r="L145" s="35"/>
      <c r="M145" s="35"/>
    </row>
    <row r="146" ht="19.5" customHeight="1" spans="1:13">
      <c r="A146" s="92" t="s">
        <v>102</v>
      </c>
      <c r="K146" s="35"/>
      <c r="L146" s="35"/>
      <c r="M146" s="35"/>
    </row>
    <row r="147" ht="27" customHeight="1" spans="1:13">
      <c r="A147" s="17"/>
      <c r="B147" s="86" t="s">
        <v>103</v>
      </c>
      <c r="C147" s="86" t="s">
        <v>104</v>
      </c>
      <c r="D147" s="86" t="s">
        <v>105</v>
      </c>
      <c r="E147" s="86" t="s">
        <v>106</v>
      </c>
      <c r="F147" s="86" t="s">
        <v>107</v>
      </c>
      <c r="G147" s="86" t="s">
        <v>108</v>
      </c>
      <c r="H147" s="86" t="s">
        <v>109</v>
      </c>
      <c r="I147" s="86" t="s">
        <v>110</v>
      </c>
      <c r="J147" s="86" t="s">
        <v>111</v>
      </c>
      <c r="K147" s="86" t="s">
        <v>112</v>
      </c>
      <c r="L147" s="86" t="s">
        <v>113</v>
      </c>
      <c r="M147" s="86" t="s">
        <v>114</v>
      </c>
    </row>
    <row r="148" ht="19.5" customHeight="1" spans="1:13">
      <c r="A148" s="89" t="s">
        <v>68</v>
      </c>
      <c r="B148" s="8">
        <f>'50 изоляция'!B148*0.9</f>
        <v>2395.8</v>
      </c>
      <c r="C148" s="8">
        <f>'50 изоляция'!C148*0.9</f>
        <v>2559.15</v>
      </c>
      <c r="D148" s="88">
        <f>'50 изоляция'!D148*0.9</f>
        <v>2766.06</v>
      </c>
      <c r="E148" s="8">
        <f>'50 изоляция'!E148*0.9</f>
        <v>2877.138</v>
      </c>
      <c r="F148" s="8">
        <f>'50 изоляция'!F148*0.9</f>
        <v>3158.1</v>
      </c>
      <c r="G148" s="88">
        <f>'50 изоляция'!G148*0.9</f>
        <v>3380.256</v>
      </c>
      <c r="H148" s="8">
        <f>'50 изоляция'!H148*0.9</f>
        <v>3593.7</v>
      </c>
      <c r="I148" s="8">
        <f>'50 изоляция'!I148*0.9</f>
        <v>3867.039</v>
      </c>
      <c r="J148" s="88">
        <f>'50 изоляция'!J148*0.9</f>
        <v>4371.246</v>
      </c>
      <c r="K148" s="8">
        <f>'50 изоляция'!K148*0.9</f>
        <v>5131.368</v>
      </c>
      <c r="L148" s="8">
        <f>'50 изоляция'!L148*0.9</f>
        <v>5587.659</v>
      </c>
      <c r="M148" s="8">
        <f>'50 изоляция'!M148*0.9</f>
        <v>5891.49</v>
      </c>
    </row>
    <row r="149" ht="19.5" customHeight="1" spans="1:13">
      <c r="A149" s="89" t="s">
        <v>18</v>
      </c>
      <c r="B149" s="8">
        <f>'50 изоляция'!B149*0.9</f>
        <v>2044.053</v>
      </c>
      <c r="C149" s="8">
        <f>'50 изоляция'!C149*0.9</f>
        <v>2178</v>
      </c>
      <c r="D149" s="88">
        <f>'50 изоляция'!D149*0.9</f>
        <v>2336.994</v>
      </c>
      <c r="E149" s="8">
        <f>'50 изоляция'!E149*0.9</f>
        <v>2528.658</v>
      </c>
      <c r="F149" s="8">
        <f>'50 изоляция'!F149*0.9</f>
        <v>2701.809</v>
      </c>
      <c r="G149" s="88">
        <f>'50 изоляция'!G149*0.9</f>
        <v>2839.023</v>
      </c>
      <c r="H149" s="8">
        <f>'50 изоляция'!H149*0.9</f>
        <v>2915.253</v>
      </c>
      <c r="I149" s="8">
        <f>'50 изоляция'!I149*0.9</f>
        <v>3113.451</v>
      </c>
      <c r="J149" s="88">
        <f>'50 изоляция'!J149*0.9</f>
        <v>3497.868</v>
      </c>
      <c r="K149" s="8">
        <f>'50 изоляция'!K149*0.9</f>
        <v>4073.949</v>
      </c>
      <c r="L149" s="8">
        <f>'50 изоляция'!L149*0.9</f>
        <v>4419.162</v>
      </c>
      <c r="M149" s="8">
        <f>'50 изоляция'!M149*0.9</f>
        <v>4650.03</v>
      </c>
    </row>
    <row r="150" ht="19.5" customHeight="1" spans="1:13">
      <c r="A150" s="89" t="s">
        <v>19</v>
      </c>
      <c r="B150" s="8">
        <f>'50 изоляция'!B150*0.9</f>
        <v>1675.971</v>
      </c>
      <c r="C150" s="8">
        <f>'50 изоляция'!C150*0.9</f>
        <v>1789.227</v>
      </c>
      <c r="D150" s="88">
        <f>'50 изоляция'!D150*0.9</f>
        <v>1906.839</v>
      </c>
      <c r="E150" s="8">
        <f>'50 изоляция'!E150*0.9</f>
        <v>2071.278</v>
      </c>
      <c r="F150" s="8">
        <f>'50 изоляция'!F150*0.9</f>
        <v>2186.712</v>
      </c>
      <c r="G150" s="88">
        <f>'50 изоляция'!G150*0.9</f>
        <v>2394.711</v>
      </c>
      <c r="H150" s="8">
        <f>'50 изоляция'!H150*0.9</f>
        <v>2445.894</v>
      </c>
      <c r="I150" s="8">
        <f>'50 изоляция'!I150*0.9</f>
        <v>2577.663</v>
      </c>
      <c r="J150" s="88">
        <f>'50 изоляция'!J150*0.9</f>
        <v>2842.29</v>
      </c>
      <c r="K150" s="8">
        <f>'50 изоляция'!K150*0.9</f>
        <v>3233.241</v>
      </c>
      <c r="L150" s="8">
        <f>'50 изоляция'!L150*0.9</f>
        <v>3467.376</v>
      </c>
      <c r="M150" s="8">
        <f>'50 изоляция'!M150*0.9</f>
        <v>3624.192</v>
      </c>
    </row>
    <row r="151" ht="19.5" customHeight="1" spans="1:13">
      <c r="A151" s="89" t="s">
        <v>20</v>
      </c>
      <c r="B151" s="8">
        <f>'50 изоляция'!B151*0.9</f>
        <v>1389.564</v>
      </c>
      <c r="C151" s="8">
        <f>'50 изоляция'!C151*0.9</f>
        <v>1533.312</v>
      </c>
      <c r="D151" s="88">
        <f>'50 изоляция'!D151*0.9</f>
        <v>1617.165</v>
      </c>
      <c r="E151" s="8">
        <f>'50 изоляция'!E151*0.9</f>
        <v>1671.615</v>
      </c>
      <c r="F151" s="8">
        <f>'50 изоляция'!F151*0.9</f>
        <v>1826.253</v>
      </c>
      <c r="G151" s="88">
        <f>'50 изоляция'!G151*0.9</f>
        <v>1914.462</v>
      </c>
      <c r="H151" s="8">
        <f>'50 изоляция'!H151*0.9</f>
        <v>1953.666</v>
      </c>
      <c r="I151" s="8">
        <f>'50 изоляция'!I151*0.9</f>
        <v>2098.503</v>
      </c>
      <c r="J151" s="88">
        <f>'50 изоляция'!J151*0.9</f>
        <v>2293.434</v>
      </c>
      <c r="K151" s="8">
        <f>'50 изоляция'!K151*0.9</f>
        <v>2808.531</v>
      </c>
      <c r="L151" s="8">
        <f>'50 изоляция'!L151*0.9</f>
        <v>3052.467</v>
      </c>
      <c r="M151" s="8">
        <f>'50 изоляция'!M151*0.9</f>
        <v>3198.393</v>
      </c>
    </row>
    <row r="152" ht="19.5" customHeight="1" spans="1:13">
      <c r="A152" s="89" t="s">
        <v>21</v>
      </c>
      <c r="B152" s="8">
        <f>'50 изоляция'!B152*0.9</f>
        <v>1117.314</v>
      </c>
      <c r="C152" s="8">
        <f>'50 изоляция'!C152*0.9</f>
        <v>1242.549</v>
      </c>
      <c r="D152" s="88">
        <f>'50 изоляция'!D152*0.9</f>
        <v>1299.177</v>
      </c>
      <c r="E152" s="8">
        <f>'50 изоляция'!E152*0.9</f>
        <v>1337.292</v>
      </c>
      <c r="F152" s="8">
        <f>'50 изоляция'!F152*0.9</f>
        <v>1446.192</v>
      </c>
      <c r="G152" s="88">
        <f>'50 изоляция'!G152*0.9</f>
        <v>1624.788</v>
      </c>
      <c r="H152" s="8">
        <f>'50 изоляция'!H152*0.9</f>
        <v>1650.924</v>
      </c>
      <c r="I152" s="8">
        <f>'50 изоляция'!I152*0.9</f>
        <v>1750.023</v>
      </c>
      <c r="J152" s="88">
        <f>'50 изоляция'!J152*0.9</f>
        <v>1967.823</v>
      </c>
      <c r="K152" s="8">
        <f>'50 изоляция'!K152*0.9</f>
        <v>2264.031</v>
      </c>
      <c r="L152" s="8">
        <f>'50 изоляция'!L152*0.9</f>
        <v>2441.538</v>
      </c>
      <c r="M152" s="8">
        <f>'50 изоляция'!M152*0.9</f>
        <v>2548.26</v>
      </c>
    </row>
    <row r="153" ht="19.5" customHeight="1" spans="1:13">
      <c r="A153" s="89" t="s">
        <v>22</v>
      </c>
      <c r="B153" s="8">
        <f>'50 изоляция'!B153*0.9</f>
        <v>936.54</v>
      </c>
      <c r="C153" s="8">
        <f>'50 изоляция'!C153*0.9</f>
        <v>1055.241</v>
      </c>
      <c r="D153" s="88">
        <f>'50 изоляция'!D153*0.9</f>
        <v>1089</v>
      </c>
      <c r="E153" s="8">
        <f>'50 изоляция'!E153*0.9</f>
        <v>1112.958</v>
      </c>
      <c r="F153" s="8">
        <f>'50 изоляция'!F153*0.9</f>
        <v>1178.298</v>
      </c>
      <c r="G153" s="88">
        <f>'50 изоляция'!G153*0.9</f>
        <v>1228.392</v>
      </c>
      <c r="H153" s="8">
        <f>'50 изоляция'!H153*0.9</f>
        <v>1244.727</v>
      </c>
      <c r="I153" s="8">
        <f>'50 изоляция'!I153*0.9</f>
        <v>1304.622</v>
      </c>
      <c r="J153" s="88">
        <f>'50 изоляция'!J153*0.9</f>
        <v>1444.014</v>
      </c>
      <c r="K153" s="8">
        <f>'50 изоляция'!K153*0.9</f>
        <v>1624.788</v>
      </c>
      <c r="L153" s="8">
        <f>'50 изоляция'!L153*0.9</f>
        <v>1733.688</v>
      </c>
      <c r="M153" s="8">
        <f>'50 изоляция'!M153*0.9</f>
        <v>1797.939</v>
      </c>
    </row>
    <row r="154" ht="19.5" customHeight="1" spans="1:13">
      <c r="A154" s="89" t="s">
        <v>23</v>
      </c>
      <c r="B154" s="8">
        <f>'50 изоляция'!B154*0.9</f>
        <v>2755.17</v>
      </c>
      <c r="C154" s="8">
        <f>'50 изоляция'!C154*0.9</f>
        <v>2915.253</v>
      </c>
      <c r="D154" s="88">
        <f>'50 изоляция'!D154*0.9</f>
        <v>3076.425</v>
      </c>
      <c r="E154" s="8">
        <f>'50 изоляция'!E154*0.9</f>
        <v>3248.487</v>
      </c>
      <c r="F154" s="8">
        <f>'50 изоляция'!F154*0.9</f>
        <v>3302.937</v>
      </c>
      <c r="G154" s="88">
        <f>'50 изоляция'!G154*0.9</f>
        <v>3466.287</v>
      </c>
      <c r="H154" s="8">
        <f>'50 изоляция'!H154*0.9</f>
        <v>3757.05</v>
      </c>
      <c r="I154" s="8">
        <f>'50 изоляция'!I154*0.9</f>
        <v>4192.65</v>
      </c>
      <c r="J154" s="88">
        <f>'50 изоляция'!J154*0.9</f>
        <v>4938.615</v>
      </c>
      <c r="K154" s="8">
        <f>'50 изоляция'!K154*0.9</f>
        <v>6051.573</v>
      </c>
      <c r="L154" s="8">
        <f>'50 изоляция'!L154*0.9</f>
        <v>6719.13</v>
      </c>
      <c r="M154" s="8">
        <f>'50 изоляция'!M154*0.9</f>
        <v>7164.531</v>
      </c>
    </row>
    <row r="155" ht="19.5" customHeight="1" spans="1:13">
      <c r="A155" s="89" t="s">
        <v>24</v>
      </c>
      <c r="B155" s="8">
        <f>'50 изоляция'!B155*0.9</f>
        <v>2537.37</v>
      </c>
      <c r="C155" s="8">
        <f>'50 изоляция'!C155*0.9</f>
        <v>2697.453</v>
      </c>
      <c r="D155" s="88">
        <f>'50 изоляция'!D155*0.9</f>
        <v>2858.625</v>
      </c>
      <c r="E155" s="8">
        <f>'50 изоляция'!E155*0.9</f>
        <v>3030.687</v>
      </c>
      <c r="F155" s="8">
        <f>'50 изоляция'!F155*0.9</f>
        <v>3085.137</v>
      </c>
      <c r="G155" s="88">
        <f>'50 изоляция'!G155*0.9</f>
        <v>3248.487</v>
      </c>
      <c r="H155" s="8">
        <f>'50 изоляция'!H155*0.9</f>
        <v>3539.25</v>
      </c>
      <c r="I155" s="8">
        <f>'50 изоляция'!I155*0.9</f>
        <v>3974.85</v>
      </c>
      <c r="J155" s="88">
        <f>'50 изоляция'!J155*0.9</f>
        <v>4720.815</v>
      </c>
      <c r="K155" s="8">
        <f>'50 изоляция'!K155*0.9</f>
        <v>5833.773</v>
      </c>
      <c r="L155" s="8">
        <f>'50 изоляция'!L155*0.9</f>
        <v>6501.33</v>
      </c>
      <c r="M155" s="8">
        <f>'50 изоляция'!M155*0.9</f>
        <v>6946.731</v>
      </c>
    </row>
    <row r="156" ht="19.5" customHeight="1" spans="1:13">
      <c r="A156" s="89" t="s">
        <v>26</v>
      </c>
      <c r="B156" s="8">
        <f>'50 изоляция'!B156*0.9</f>
        <v>3932.379</v>
      </c>
      <c r="C156" s="8">
        <f>'50 изоляция'!C156*0.9</f>
        <v>4087.017</v>
      </c>
      <c r="D156" s="88">
        <f>'50 изоляция'!D156*0.9</f>
        <v>4320.063</v>
      </c>
      <c r="E156" s="8">
        <f>'50 изоляция'!E156*0.9</f>
        <v>4751.307</v>
      </c>
      <c r="F156" s="8">
        <f>'50 изоляция'!F156*0.9</f>
        <v>4951.683</v>
      </c>
      <c r="G156" s="88">
        <f>'50 изоляция'!G156*0.9</f>
        <v>5293.629</v>
      </c>
      <c r="H156" s="8">
        <f>'50 изоляция'!H156*0.9</f>
        <v>5601.816</v>
      </c>
      <c r="I156" s="8">
        <f>'50 изоляция'!I156*0.9</f>
        <v>6251.949</v>
      </c>
      <c r="J156" s="88">
        <f>'50 изоляция'!J156*0.9</f>
        <v>6681.015</v>
      </c>
      <c r="K156" s="8">
        <f>'50 изоляция'!K156*0.9</f>
        <v>8249.175</v>
      </c>
      <c r="L156" s="8">
        <f>'50 изоляция'!L156*0.9</f>
        <v>9190.071</v>
      </c>
      <c r="M156" s="8">
        <f>'50 изоляция'!M156*0.9</f>
        <v>9817.335</v>
      </c>
    </row>
    <row r="157" ht="19.5" customHeight="1" spans="1:13">
      <c r="A157" s="89" t="s">
        <v>27</v>
      </c>
      <c r="B157" s="8">
        <f>'50 изоляция'!B157*0.9</f>
        <v>5095.431</v>
      </c>
      <c r="C157" s="8">
        <f>'50 изоляция'!C157*0.9</f>
        <v>5235.912</v>
      </c>
      <c r="D157" s="88">
        <f>'50 изоляция'!D157*0.9</f>
        <v>5460.246</v>
      </c>
      <c r="E157" s="8">
        <f>'50 изоляция'!E157*0.9</f>
        <v>5956.83</v>
      </c>
      <c r="F157" s="8">
        <f>'50 изоляция'!F157*0.9</f>
        <v>6145.227</v>
      </c>
      <c r="G157" s="88">
        <f>'50 изоляция'!G157*0.9</f>
        <v>6818.229</v>
      </c>
      <c r="H157" s="8">
        <f>'50 изоляция'!H157*0.9</f>
        <v>7377.975</v>
      </c>
      <c r="I157" s="8">
        <f>'50 изоляция'!I157*0.9</f>
        <v>8025.93</v>
      </c>
      <c r="J157" s="88">
        <f>'50 изоляция'!J157*0.9</f>
        <v>9369.756</v>
      </c>
      <c r="K157" s="8">
        <f>'50 изоляция'!K157*0.9</f>
        <v>10976.031</v>
      </c>
      <c r="L157" s="8">
        <f>'50 изоляция'!L157*0.9</f>
        <v>11939.796</v>
      </c>
      <c r="M157" s="8">
        <f>'50 изоляция'!M157*0.9</f>
        <v>12518.055</v>
      </c>
    </row>
    <row r="158" ht="19.5" customHeight="1" spans="1:13">
      <c r="A158" s="89" t="s">
        <v>70</v>
      </c>
      <c r="B158" s="8">
        <f>'50 изоляция'!B158*0.9</f>
        <v>9462.321</v>
      </c>
      <c r="C158" s="8">
        <f>'50 изоляция'!C158*0.9</f>
        <v>9757.44</v>
      </c>
      <c r="D158" s="88">
        <f>'50 изоляция'!D158*0.9</f>
        <v>10005.732</v>
      </c>
      <c r="E158" s="8">
        <f>'50 изоляция'!E158*0.9</f>
        <v>10283.427</v>
      </c>
      <c r="F158" s="8">
        <f>'50 изоляция'!F158*0.9</f>
        <v>10595.97</v>
      </c>
      <c r="G158" s="88">
        <f>'50 изоляция'!G158*0.9</f>
        <v>11307.087</v>
      </c>
      <c r="H158" s="8">
        <f>'50 изоляция'!H158*0.9</f>
        <v>11683.881</v>
      </c>
      <c r="I158" s="8">
        <f>'50 изоляция'!I158*0.9</f>
        <v>12496.275</v>
      </c>
      <c r="J158" s="88">
        <f>'50 изоляция'!J158*0.9</f>
        <v>14014.341</v>
      </c>
      <c r="K158" s="8">
        <f>'50 изоляция'!K158*0.9</f>
        <v>16525.575</v>
      </c>
      <c r="L158" s="8">
        <f>'50 изоляция'!L158*0.9</f>
        <v>18032.751</v>
      </c>
      <c r="M158" s="8">
        <f>'50 изоляция'!M158*0.9</f>
        <v>11107.8</v>
      </c>
    </row>
    <row r="159" ht="19.5" customHeight="1" spans="1:13">
      <c r="A159" s="89" t="s">
        <v>71</v>
      </c>
      <c r="B159" s="8">
        <f>'50 изоляция'!B159*0.9</f>
        <v>1074.843</v>
      </c>
      <c r="C159" s="8">
        <f>'50 изоляция'!C159*0.9</f>
        <v>1097.712</v>
      </c>
      <c r="D159" s="88">
        <f>'50 изоляция'!D159*0.9</f>
        <v>1176.12</v>
      </c>
      <c r="E159" s="8">
        <f>'50 изоляция'!E159*0.9</f>
        <v>1303.533</v>
      </c>
      <c r="F159" s="8">
        <f>'50 изоляция'!F159*0.9</f>
        <v>1400.454</v>
      </c>
      <c r="G159" s="88">
        <f>'50 изоляция'!G159*0.9</f>
        <v>1485.396</v>
      </c>
      <c r="H159" s="8">
        <f>'50 изоляция'!H159*0.9</f>
        <v>1612.809</v>
      </c>
      <c r="I159" s="8">
        <f>'50 изоляция'!I159*0.9</f>
        <v>1666.17</v>
      </c>
      <c r="J159" s="88">
        <f>'50 изоляция'!J159*0.9</f>
        <v>1862.19</v>
      </c>
      <c r="K159" s="8">
        <f>'50 изоляция'!K159*0.9</f>
        <v>2131.173</v>
      </c>
      <c r="L159" s="8">
        <f>'50 изоляция'!L159*0.9</f>
        <v>2292.345</v>
      </c>
      <c r="M159" s="8">
        <f>'50 изоляция'!M159*0.9</f>
        <v>2388.177</v>
      </c>
    </row>
    <row r="160" ht="19.5" customHeight="1" spans="1:13">
      <c r="A160" s="89" t="s">
        <v>72</v>
      </c>
      <c r="B160" s="8">
        <f>'50 изоляция'!B160*0.9</f>
        <v>3203.838</v>
      </c>
      <c r="C160" s="8">
        <f>'50 изоляция'!C160*0.9</f>
        <v>3300.759</v>
      </c>
      <c r="D160" s="88">
        <f>'50 изоляция'!D160*0.9</f>
        <v>3341.052</v>
      </c>
      <c r="E160" s="8">
        <f>'50 изоляция'!E160*0.9</f>
        <v>3469.554</v>
      </c>
      <c r="F160" s="8">
        <f>'50 изоляция'!F160*0.9</f>
        <v>3583.899</v>
      </c>
      <c r="G160" s="88">
        <f>'50 изоляция'!G160*0.9</f>
        <v>3858.327</v>
      </c>
      <c r="H160" s="8">
        <f>'50 изоляция'!H160*0.9</f>
        <v>3985.74</v>
      </c>
      <c r="I160" s="8">
        <f>'50 изоляция'!I160*0.9</f>
        <v>4264.524</v>
      </c>
      <c r="J160" s="88">
        <f>'50 изоляция'!J160*0.9</f>
        <v>4787.244</v>
      </c>
      <c r="K160" s="8">
        <f>'50 изоляция'!K160*0.9</f>
        <v>5774.967</v>
      </c>
      <c r="L160" s="8">
        <f>'50 изоляция'!L160*0.9</f>
        <v>6367.383</v>
      </c>
      <c r="M160" s="8">
        <f>'50 изоляция'!M160*0.9</f>
        <v>6723.486</v>
      </c>
    </row>
    <row r="161" ht="19.5" customHeight="1" spans="1:14">
      <c r="A161" s="89" t="s">
        <v>73</v>
      </c>
      <c r="B161" s="8">
        <f>'50 изоляция'!B161*0.9</f>
        <v>1208.79</v>
      </c>
      <c r="C161" s="8">
        <f>'50 изоляция'!C161*0.9</f>
        <v>1247.994</v>
      </c>
      <c r="D161" s="88">
        <f>'50 изоляция'!D161*0.9</f>
        <v>1322.046</v>
      </c>
      <c r="E161" s="8">
        <f>'50 изоляция'!E161*0.9</f>
        <v>1463.616</v>
      </c>
      <c r="F161" s="8">
        <f>'50 изоляция'!F161*0.9</f>
        <v>1522.422</v>
      </c>
      <c r="G161" s="88">
        <f>'50 изоляция'!G161*0.9</f>
        <v>1695.573</v>
      </c>
      <c r="H161" s="8">
        <f>'50 изоляция'!H161*0.9</f>
        <v>1851.3</v>
      </c>
      <c r="I161" s="8">
        <f>'50 изоляция'!I161*0.9</f>
        <v>2119.194</v>
      </c>
      <c r="J161" s="88">
        <f>'50 изоляция'!J161*0.9</f>
        <v>2293.434</v>
      </c>
      <c r="K161" s="8">
        <f>'50 изоляция'!K161*0.9</f>
        <v>2714.877</v>
      </c>
      <c r="L161" s="8">
        <f>'50 изоляция'!L161*0.9</f>
        <v>2967.525</v>
      </c>
      <c r="M161" s="8">
        <f>'50 изоляция'!M161*0.9</f>
        <v>3119.985</v>
      </c>
    </row>
    <row r="162" ht="19.5" customHeight="1" spans="1:14">
      <c r="A162" s="89" t="s">
        <v>74</v>
      </c>
      <c r="B162" s="8">
        <f>'50 изоляция'!B162*0.9</f>
        <v>1592.118</v>
      </c>
      <c r="C162" s="8">
        <f>'50 изоляция'!C162*0.9</f>
        <v>1647.657</v>
      </c>
      <c r="D162" s="88">
        <f>'50 изоляция'!D162*0.9</f>
        <v>1840.41</v>
      </c>
      <c r="E162" s="8">
        <f>'50 изоляция'!E162*0.9</f>
        <v>1886.148</v>
      </c>
      <c r="F162" s="8">
        <f>'50 изоляция'!F162*0.9</f>
        <v>2014.65</v>
      </c>
      <c r="G162" s="88">
        <f>'50 изоляция'!G162*0.9</f>
        <v>2322.837</v>
      </c>
      <c r="H162" s="8">
        <f>'50 изоляция'!H162*0.9</f>
        <v>2438.271</v>
      </c>
      <c r="I162" s="8">
        <f>'50 изоляция'!I162*0.9</f>
        <v>2677.851</v>
      </c>
      <c r="J162" s="88">
        <f>'50 изоляция'!J162*0.9</f>
        <v>2870.604</v>
      </c>
      <c r="K162" s="8">
        <f>'50 изоляция'!K162*0.9</f>
        <v>3494.601</v>
      </c>
      <c r="L162" s="8">
        <f>'50 изоляция'!L162*0.9</f>
        <v>3869.217</v>
      </c>
      <c r="M162" s="8">
        <f>'50 изоляция'!M162*0.9</f>
        <v>4093.551</v>
      </c>
    </row>
    <row r="163" ht="19.5" customHeight="1" spans="1:14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ht="19.5" customHeight="1" spans="1:14">
      <c r="A164" s="120" t="s">
        <v>35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5"/>
    </row>
    <row r="165" ht="19.5" customHeight="1" spans="1:14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83" t="s">
        <v>99</v>
      </c>
    </row>
    <row r="166" ht="19.5" customHeight="1" spans="1:14">
      <c r="A166" s="35"/>
      <c r="B166" s="35"/>
      <c r="C166" s="35"/>
      <c r="D166" s="35"/>
      <c r="E166" s="35"/>
      <c r="F166" s="35"/>
      <c r="G166" s="35"/>
      <c r="H166" s="35"/>
      <c r="I166" s="35"/>
      <c r="J166" s="35"/>
    </row>
    <row r="167" ht="19.5" customHeight="1" spans="1:14">
      <c r="A167" s="92" t="s">
        <v>121</v>
      </c>
    </row>
    <row r="168" ht="19.5" customHeight="1" spans="1:14">
      <c r="A168" s="92" t="s">
        <v>101</v>
      </c>
      <c r="K168" s="35"/>
      <c r="L168" s="35"/>
      <c r="M168" s="35"/>
    </row>
    <row r="169" ht="19.5" customHeight="1" spans="1:14">
      <c r="A169" s="92" t="s">
        <v>102</v>
      </c>
      <c r="K169" s="35"/>
      <c r="L169" s="35"/>
      <c r="M169" s="35"/>
    </row>
    <row r="170" ht="27" customHeight="1" spans="1:14">
      <c r="A170" s="17"/>
      <c r="B170" s="86" t="s">
        <v>103</v>
      </c>
      <c r="C170" s="86" t="s">
        <v>104</v>
      </c>
      <c r="D170" s="86" t="s">
        <v>105</v>
      </c>
      <c r="E170" s="86" t="s">
        <v>106</v>
      </c>
      <c r="F170" s="86" t="s">
        <v>107</v>
      </c>
      <c r="G170" s="86" t="s">
        <v>108</v>
      </c>
      <c r="H170" s="86" t="s">
        <v>109</v>
      </c>
      <c r="I170" s="86" t="s">
        <v>110</v>
      </c>
      <c r="J170" s="86" t="s">
        <v>111</v>
      </c>
      <c r="K170" s="86" t="s">
        <v>112</v>
      </c>
      <c r="L170" s="86" t="s">
        <v>113</v>
      </c>
      <c r="M170" s="86" t="s">
        <v>114</v>
      </c>
    </row>
    <row r="171" ht="19.5" customHeight="1" spans="1:14">
      <c r="A171" s="89" t="s">
        <v>68</v>
      </c>
      <c r="B171" s="8">
        <f>'50 изоляция'!B171*0.9</f>
        <v>2885.85</v>
      </c>
      <c r="C171" s="8">
        <f>'50 изоляция'!C171*0.9</f>
        <v>3027.42</v>
      </c>
      <c r="D171" s="88">
        <f>'50 изоляция'!D171*0.9</f>
        <v>3286.602</v>
      </c>
      <c r="E171" s="8">
        <f>'50 изоляция'!E171*0.9</f>
        <v>3671.019</v>
      </c>
      <c r="F171" s="8">
        <f>'50 изоляция'!F171*0.9</f>
        <v>3811.5</v>
      </c>
      <c r="G171" s="88">
        <f>'50 изоляция'!G171*0.9</f>
        <v>3911.688</v>
      </c>
      <c r="H171" s="8">
        <f>'50 изоляция'!H171*0.9</f>
        <v>4741.506</v>
      </c>
      <c r="I171" s="8">
        <f>'50 изоляция'!I171*0.9</f>
        <v>4978.908</v>
      </c>
      <c r="J171" s="88">
        <f>'50 изоляция'!J171*0.9</f>
        <v>5222.844</v>
      </c>
      <c r="K171" s="8">
        <f>'50 изоляция'!K171*0.9</f>
        <v>6642.9</v>
      </c>
      <c r="L171" s="8">
        <f>'50 изоляция'!L171*0.9</f>
        <v>7494.498</v>
      </c>
      <c r="M171" s="8">
        <f>'50 изоляция'!M171*0.9</f>
        <v>8062.956</v>
      </c>
    </row>
    <row r="172" ht="19.5" customHeight="1" spans="1:14">
      <c r="A172" s="89" t="s">
        <v>18</v>
      </c>
      <c r="B172" s="8">
        <f>'50 изоляция'!B172*0.9</f>
        <v>2395.8</v>
      </c>
      <c r="C172" s="8">
        <f>'50 изоляция'!C172*0.9</f>
        <v>2551.527</v>
      </c>
      <c r="D172" s="88">
        <f>'50 изоляция'!D172*0.9</f>
        <v>2796.552</v>
      </c>
      <c r="E172" s="8">
        <f>'50 изоляция'!E172*0.9</f>
        <v>3158.1</v>
      </c>
      <c r="F172" s="8">
        <f>'50 изоляция'!F172*0.9</f>
        <v>3267</v>
      </c>
      <c r="G172" s="88">
        <f>'50 изоляция'!G172*0.9</f>
        <v>3365.01</v>
      </c>
      <c r="H172" s="8">
        <f>'50 изоляция'!H172*0.9</f>
        <v>4033.656</v>
      </c>
      <c r="I172" s="8">
        <f>'50 изоляция'!I172*0.9</f>
        <v>4247.1</v>
      </c>
      <c r="J172" s="88">
        <f>'50 изоляция'!J172*0.9</f>
        <v>4406.094</v>
      </c>
      <c r="K172" s="8">
        <f>'50 изоляция'!K172*0.9</f>
        <v>5662.8</v>
      </c>
      <c r="L172" s="8">
        <f>'50 изоляция'!L172*0.9</f>
        <v>6416.388</v>
      </c>
      <c r="M172" s="8">
        <f>'50 изоляция'!M172*0.9</f>
        <v>6919.506</v>
      </c>
    </row>
    <row r="173" ht="19.5" customHeight="1" spans="1:14">
      <c r="A173" s="89" t="s">
        <v>19</v>
      </c>
      <c r="B173" s="8">
        <f>'50 изоляция'!B173*0.9</f>
        <v>1988.514</v>
      </c>
      <c r="C173" s="8">
        <f>'50 изоляция'!C173*0.9</f>
        <v>2069.1</v>
      </c>
      <c r="D173" s="88">
        <f>'50 изоляция'!D173*0.9</f>
        <v>2286.9</v>
      </c>
      <c r="E173" s="8">
        <f>'50 изоляция'!E173*0.9</f>
        <v>2544.993</v>
      </c>
      <c r="F173" s="8">
        <f>'50 изоляция'!F173*0.9</f>
        <v>2668.05</v>
      </c>
      <c r="G173" s="88">
        <f>'50 изоляция'!G173*0.9</f>
        <v>2722.5</v>
      </c>
      <c r="H173" s="8">
        <f>'50 изоляция'!H173*0.9</f>
        <v>3325.806</v>
      </c>
      <c r="I173" s="8">
        <f>'50 изоляция'!I173*0.9</f>
        <v>3504.402</v>
      </c>
      <c r="J173" s="88">
        <f>'50 изоляция'!J173*0.9</f>
        <v>3639.438</v>
      </c>
      <c r="K173" s="8">
        <f>'50 изоляция'!K173*0.9</f>
        <v>4756.752</v>
      </c>
      <c r="L173" s="8">
        <f>'50 изоляция'!L173*0.9</f>
        <v>5427.576</v>
      </c>
      <c r="M173" s="8">
        <f>'50 изоляция'!M173*0.9</f>
        <v>5874.066</v>
      </c>
    </row>
    <row r="174" ht="19.5" customHeight="1" spans="1:14">
      <c r="A174" s="89" t="s">
        <v>20</v>
      </c>
      <c r="B174" s="8">
        <f>'50 изоляция'!B174*0.9</f>
        <v>1603.008</v>
      </c>
      <c r="C174" s="8">
        <f>'50 изоляция'!C174*0.9</f>
        <v>1635.678</v>
      </c>
      <c r="D174" s="88">
        <f>'50 изоляция'!D174*0.9</f>
        <v>1809.918</v>
      </c>
      <c r="E174" s="8">
        <f>'50 изоляция'!E174*0.9</f>
        <v>2136.618</v>
      </c>
      <c r="F174" s="8">
        <f>'50 изоляция'!F174*0.9</f>
        <v>2213.937</v>
      </c>
      <c r="G174" s="88">
        <f>'50 изоляция'!G174*0.9</f>
        <v>2286.9</v>
      </c>
      <c r="H174" s="8">
        <f>'50 изоляция'!H174*0.9</f>
        <v>2602.71</v>
      </c>
      <c r="I174" s="8">
        <f>'50 изоляция'!I174*0.9</f>
        <v>2804.175</v>
      </c>
      <c r="J174" s="88">
        <f>'50 изоляция'!J174*0.9</f>
        <v>3210.372</v>
      </c>
      <c r="K174" s="8">
        <f>'50 изоляция'!K174*0.9</f>
        <v>3771.207</v>
      </c>
      <c r="L174" s="8">
        <f>'50 изоляция'!L174*0.9</f>
        <v>4107.708</v>
      </c>
      <c r="M174" s="8">
        <f>'50 изоляция'!M174*0.9</f>
        <v>4309.173</v>
      </c>
    </row>
    <row r="175" ht="19.5" customHeight="1" spans="1:14">
      <c r="A175" s="89" t="s">
        <v>21</v>
      </c>
      <c r="B175" s="8">
        <f>'50 изоляция'!B175*0.9</f>
        <v>1306.8</v>
      </c>
      <c r="C175" s="8">
        <f>'50 изоляция'!C175*0.9</f>
        <v>1417.878</v>
      </c>
      <c r="D175" s="88">
        <f>'50 изоляция'!D175*0.9</f>
        <v>1524.6</v>
      </c>
      <c r="E175" s="8">
        <f>'50 изоляция'!E175*0.9</f>
        <v>1658.547</v>
      </c>
      <c r="F175" s="8">
        <f>'50 изоляция'!F175*0.9</f>
        <v>1811.007</v>
      </c>
      <c r="G175" s="88">
        <f>'50 изоляция'!G175*0.9</f>
        <v>1991.781</v>
      </c>
      <c r="H175" s="8">
        <f>'50 изоляция'!H175*0.9</f>
        <v>2047.32</v>
      </c>
      <c r="I175" s="8">
        <f>'50 изоляция'!I175*0.9</f>
        <v>2191.068</v>
      </c>
      <c r="J175" s="88">
        <f>'50 изоляция'!J175*0.9</f>
        <v>2488.365</v>
      </c>
      <c r="K175" s="8">
        <f>'50 изоляция'!K175*0.9</f>
        <v>2895.651</v>
      </c>
      <c r="L175" s="8">
        <f>'50 изоляция'!L175*0.9</f>
        <v>3139.587</v>
      </c>
      <c r="M175" s="8">
        <f>'50 изоляция'!M175*0.9</f>
        <v>3286.602</v>
      </c>
    </row>
    <row r="176" ht="19.5" customHeight="1" spans="1:14">
      <c r="A176" s="89" t="s">
        <v>22</v>
      </c>
      <c r="B176" s="8">
        <f>'50 изоляция'!B176*0.9</f>
        <v>1128.204</v>
      </c>
      <c r="C176" s="8">
        <f>'50 изоляция'!C176*0.9</f>
        <v>1172.853</v>
      </c>
      <c r="D176" s="88">
        <f>'50 изоляция'!D176*0.9</f>
        <v>1303.533</v>
      </c>
      <c r="E176" s="8">
        <f>'50 изоляция'!E176*0.9</f>
        <v>1335.114</v>
      </c>
      <c r="F176" s="8">
        <f>'50 изоляция'!F176*0.9</f>
        <v>1426.59</v>
      </c>
      <c r="G176" s="88">
        <f>'50 изоляция'!G176*0.9</f>
        <v>1481.04</v>
      </c>
      <c r="H176" s="8">
        <f>'50 изоляция'!H176*0.9</f>
        <v>1510.443</v>
      </c>
      <c r="I176" s="8">
        <f>'50 изоляция'!I176*0.9</f>
        <v>1592.118</v>
      </c>
      <c r="J176" s="88">
        <f>'50 изоляция'!J176*0.9</f>
        <v>1773.981</v>
      </c>
      <c r="K176" s="8">
        <f>'50 изоляция'!K176*0.9</f>
        <v>2021.184</v>
      </c>
      <c r="L176" s="8">
        <f>'50 изоляция'!L176*0.9</f>
        <v>2169.288</v>
      </c>
      <c r="M176" s="8">
        <f>'50 изоляция'!M176*0.9</f>
        <v>2258.586</v>
      </c>
    </row>
    <row r="177" ht="19.5" customHeight="1" spans="1:14">
      <c r="A177" s="89" t="s">
        <v>23</v>
      </c>
      <c r="B177" s="8">
        <f>'50 изоляция'!B177*0.9</f>
        <v>3059.001</v>
      </c>
      <c r="C177" s="8">
        <f>'50 изоляция'!C177*0.9</f>
        <v>3345.408</v>
      </c>
      <c r="D177" s="88">
        <f>'50 изоляция'!D177*0.9</f>
        <v>3740.715</v>
      </c>
      <c r="E177" s="8">
        <f>'50 изоляция'!E177*0.9</f>
        <v>4044.546</v>
      </c>
      <c r="F177" s="8">
        <f>'50 изоляция'!F177*0.9</f>
        <v>4447.476</v>
      </c>
      <c r="G177" s="88">
        <f>'50 изоляция'!G177*0.9</f>
        <v>4977.819</v>
      </c>
      <c r="H177" s="8">
        <f>'50 изоляция'!H177*0.9</f>
        <v>5512.518</v>
      </c>
      <c r="I177" s="8">
        <f>'50 изоляция'!I177*0.9</f>
        <v>5706.36</v>
      </c>
      <c r="J177" s="88">
        <f>'50 изоляция'!J177*0.9</f>
        <v>6420.744</v>
      </c>
      <c r="K177" s="8">
        <f>'50 изоляция'!K177*0.9</f>
        <v>8310.159</v>
      </c>
      <c r="L177" s="8">
        <f>'50 изоляция'!L177*0.9</f>
        <v>9443.808</v>
      </c>
      <c r="M177" s="8">
        <f>'50 изоляция'!M177*0.9</f>
        <v>10199.574</v>
      </c>
    </row>
    <row r="178" ht="19.5" customHeight="1" spans="1:14">
      <c r="A178" s="89" t="s">
        <v>24</v>
      </c>
      <c r="B178" s="8">
        <f>'50 изоляция'!B178*0.9</f>
        <v>2841.201</v>
      </c>
      <c r="C178" s="8">
        <f>'50 изоляция'!C178*0.9</f>
        <v>3127.608</v>
      </c>
      <c r="D178" s="88">
        <f>'50 изоляция'!D178*0.9</f>
        <v>3522.915</v>
      </c>
      <c r="E178" s="8">
        <f>'50 изоляция'!E178*0.9</f>
        <v>3826.746</v>
      </c>
      <c r="F178" s="8">
        <f>'50 изоляция'!F178*0.9</f>
        <v>4229.676</v>
      </c>
      <c r="G178" s="88">
        <f>'50 изоляция'!G178*0.9</f>
        <v>4760.019</v>
      </c>
      <c r="H178" s="8">
        <f>'50 изоляция'!H178*0.9</f>
        <v>5294.718</v>
      </c>
      <c r="I178" s="8">
        <f>'50 изоляция'!I178*0.9</f>
        <v>5488.56</v>
      </c>
      <c r="J178" s="88">
        <f>'50 изоляция'!J178*0.9</f>
        <v>6202.944</v>
      </c>
      <c r="K178" s="8">
        <f>'50 изоляция'!K178*0.9</f>
        <v>8092.359</v>
      </c>
      <c r="L178" s="8">
        <f>'50 изоляция'!L178*0.9</f>
        <v>9226.008</v>
      </c>
      <c r="M178" s="8">
        <f>'50 изоляция'!M178*0.9</f>
        <v>9981.774</v>
      </c>
    </row>
    <row r="179" ht="19.5" customHeight="1" spans="1:14">
      <c r="A179" s="89" t="s">
        <v>26</v>
      </c>
      <c r="B179" s="8">
        <f>'50 изоляция'!B179*0.9</f>
        <v>4412.628</v>
      </c>
      <c r="C179" s="8">
        <f>'50 изоляция'!C179*0.9</f>
        <v>4746.951</v>
      </c>
      <c r="D179" s="88">
        <f>'50 изоляция'!D179*0.9</f>
        <v>5140.08</v>
      </c>
      <c r="E179" s="8">
        <f>'50 изоляция'!E179*0.9</f>
        <v>5561.523</v>
      </c>
      <c r="F179" s="8">
        <f>'50 изоляция'!F179*0.9</f>
        <v>5835.951</v>
      </c>
      <c r="G179" s="88">
        <f>'50 изоляция'!G179*0.9</f>
        <v>6290.064</v>
      </c>
      <c r="H179" s="8">
        <f>'50 изоляция'!H179*0.9</f>
        <v>6560.136</v>
      </c>
      <c r="I179" s="8">
        <f>'50 изоляция'!I179*0.9</f>
        <v>7169.976</v>
      </c>
      <c r="J179" s="88">
        <f>'50 изоляция'!J179*0.9</f>
        <v>8042.265</v>
      </c>
      <c r="K179" s="8">
        <f>'50 изоляция'!K179*0.9</f>
        <v>9048.501</v>
      </c>
      <c r="L179" s="8">
        <f>'50 изоляция'!L179*0.9</f>
        <v>10097.208</v>
      </c>
      <c r="M179" s="8">
        <f>'50 изоляция'!M179*0.9</f>
        <v>10852.974</v>
      </c>
    </row>
    <row r="180" ht="19.5" customHeight="1" spans="1:14">
      <c r="A180" s="89" t="s">
        <v>27</v>
      </c>
      <c r="B180" s="8">
        <f>'50 изоляция'!B180*0.9</f>
        <v>5872.977</v>
      </c>
      <c r="C180" s="8">
        <f>'50 изоляция'!C180*0.9</f>
        <v>6231.258</v>
      </c>
      <c r="D180" s="88">
        <f>'50 изоляция'!D180*0.9</f>
        <v>6433.812</v>
      </c>
      <c r="E180" s="8">
        <f>'50 изоляция'!E180*0.9</f>
        <v>6822.585</v>
      </c>
      <c r="F180" s="8">
        <f>'50 изоляция'!F180*0.9</f>
        <v>7132.95</v>
      </c>
      <c r="G180" s="88">
        <f>'50 изоляция'!G180*0.9</f>
        <v>7887.627</v>
      </c>
      <c r="H180" s="8">
        <f>'50 изоляция'!H180*0.9</f>
        <v>8376.588</v>
      </c>
      <c r="I180" s="8">
        <f>'50 изоляция'!I180*0.9</f>
        <v>9463.41</v>
      </c>
      <c r="J180" s="88">
        <f>'50 изоляция'!J180*0.9</f>
        <v>11260.26</v>
      </c>
      <c r="K180" s="8">
        <f>'50 изоляция'!K180*0.9</f>
        <v>13661.505</v>
      </c>
      <c r="L180" s="8">
        <f>'50 изоляция'!L180*0.9</f>
        <v>15102.252</v>
      </c>
      <c r="M180" s="8">
        <f>'50 изоляция'!M180*0.9</f>
        <v>15966.918</v>
      </c>
    </row>
    <row r="181" ht="19.5" customHeight="1" spans="1:14">
      <c r="A181" s="89" t="s">
        <v>70</v>
      </c>
      <c r="B181" s="8">
        <f>'50 изоляция'!B181*0.9</f>
        <v>10836.639</v>
      </c>
      <c r="C181" s="8">
        <f>'50 изоляция'!C181*0.9</f>
        <v>11188.386</v>
      </c>
      <c r="D181" s="88">
        <f>'50 изоляция'!D181*0.9</f>
        <v>11475.882</v>
      </c>
      <c r="E181" s="8">
        <f>'50 изоляция'!E181*0.9</f>
        <v>44472.582</v>
      </c>
      <c r="F181" s="8">
        <f>'50 изоляция'!F181*0.9</f>
        <v>12172.842</v>
      </c>
      <c r="G181" s="88">
        <f>'50 изоляция'!G181*0.9</f>
        <v>13010.283</v>
      </c>
      <c r="H181" s="8">
        <f>'50 изоляция'!H181*0.9</f>
        <v>13461.129</v>
      </c>
      <c r="I181" s="8">
        <f>'50 изоляция'!I181*0.9</f>
        <v>14437.962</v>
      </c>
      <c r="J181" s="88">
        <f>'50 изоляция'!J181*0.9</f>
        <v>16109.577</v>
      </c>
      <c r="K181" s="8">
        <f>'50 изоляция'!K181*0.9</f>
        <v>18938.799</v>
      </c>
      <c r="L181" s="8">
        <f>'50 изоляция'!L181*0.9</f>
        <v>20636.55</v>
      </c>
      <c r="M181" s="8">
        <f>'50 изоляция'!M181*0.9</f>
        <v>21654.765</v>
      </c>
    </row>
    <row r="182" ht="19.5" customHeight="1" spans="1:14">
      <c r="A182" s="89" t="s">
        <v>32</v>
      </c>
      <c r="B182" s="8">
        <f>'50 изоляция'!B182*0.9</f>
        <v>1266.507</v>
      </c>
      <c r="C182" s="8">
        <f>'50 изоляция'!C182*0.9</f>
        <v>1291.554</v>
      </c>
      <c r="D182" s="88">
        <f>'50 изоляция'!D182*0.9</f>
        <v>1318.779</v>
      </c>
      <c r="E182" s="8">
        <f>'50 изоляция'!E182*0.9</f>
        <v>1452.726</v>
      </c>
      <c r="F182" s="8">
        <f>'50 изоляция'!F182*0.9</f>
        <v>1586.673</v>
      </c>
      <c r="G182" s="88">
        <f>'50 изоляция'!G182*0.9</f>
        <v>1659.636</v>
      </c>
      <c r="H182" s="8">
        <f>'50 изоляция'!H182*0.9</f>
        <v>1796.85</v>
      </c>
      <c r="I182" s="8">
        <f>'50 изоляция'!I182*0.9</f>
        <v>1854.567</v>
      </c>
      <c r="J182" s="88">
        <f>'50 изоляция'!J182*0.9</f>
        <v>2045.142</v>
      </c>
      <c r="K182" s="8">
        <f>'50 изоляция'!K182*0.9</f>
        <v>2274.921</v>
      </c>
      <c r="L182" s="8">
        <f>'50 изоляция'!L182*0.9</f>
        <v>2413.224</v>
      </c>
      <c r="M182" s="8">
        <f>'50 изоляция'!M182*0.9</f>
        <v>2495.988</v>
      </c>
    </row>
    <row r="183" ht="19.5" customHeight="1" spans="1:14">
      <c r="A183" s="89" t="s">
        <v>81</v>
      </c>
      <c r="B183" s="8">
        <f>'50 изоляция'!B183*0.9</f>
        <v>3588.255</v>
      </c>
      <c r="C183" s="8">
        <f>'50 изоляция'!C183*0.9</f>
        <v>3706.956</v>
      </c>
      <c r="D183" s="88">
        <f>'50 изоляция'!D183*0.9</f>
        <v>3740.715</v>
      </c>
      <c r="E183" s="8">
        <f>'50 изоляция'!E183*0.9</f>
        <v>3882.285</v>
      </c>
      <c r="F183" s="8">
        <f>'50 изоляция'!F183*0.9</f>
        <v>4021.677</v>
      </c>
      <c r="G183" s="88">
        <f>'50 изоляция'!G183*0.9</f>
        <v>4414.806</v>
      </c>
      <c r="H183" s="8">
        <f>'50 изоляция'!H183*0.9</f>
        <v>4769.82</v>
      </c>
      <c r="I183" s="8">
        <f>'50 изоляция'!I183*0.9</f>
        <v>5133.546</v>
      </c>
      <c r="J183" s="88">
        <f>'50 изоляция'!J183*0.9</f>
        <v>5662.8</v>
      </c>
      <c r="K183" s="8">
        <f>'50 изоляция'!K183*0.9</f>
        <v>7111.17</v>
      </c>
      <c r="L183" s="8">
        <f>'50 изоляция'!L183*0.9</f>
        <v>7980.192</v>
      </c>
      <c r="M183" s="8">
        <f>'50 изоляция'!M183*0.9</f>
        <v>8501.823</v>
      </c>
    </row>
    <row r="184" ht="19.5" customHeight="1" spans="1:14">
      <c r="A184" s="89" t="s">
        <v>82</v>
      </c>
      <c r="B184" s="8">
        <f>'50 изоляция'!B184*0.9</f>
        <v>4372.335</v>
      </c>
      <c r="C184" s="8">
        <f>'50 изоляция'!C184*0.9</f>
        <v>4542.219</v>
      </c>
      <c r="D184" s="88">
        <f>'50 изоляция'!D184*0.9</f>
        <v>4574.889</v>
      </c>
      <c r="E184" s="8">
        <f>'50 изоляция'!E184*0.9</f>
        <v>4774.176</v>
      </c>
      <c r="F184" s="8">
        <f>'50 изоляция'!F184*0.9</f>
        <v>4971.285</v>
      </c>
      <c r="G184" s="88">
        <f>'50 изоляция'!G184*0.9</f>
        <v>5356.791</v>
      </c>
      <c r="H184" s="8">
        <f>'50 изоляция'!H184*0.9</f>
        <v>5564.79</v>
      </c>
      <c r="I184" s="8">
        <f>'50 изоляция'!I184*0.9</f>
        <v>6009.102</v>
      </c>
      <c r="J184" s="88">
        <f>'50 изоляция'!J184*0.9</f>
        <v>6702.795</v>
      </c>
      <c r="K184" s="8">
        <f>'50 изоляция'!K184*0.9</f>
        <v>8217.594</v>
      </c>
      <c r="L184" s="8">
        <f>'50 изоляция'!L184*0.9</f>
        <v>9126.909</v>
      </c>
      <c r="M184" s="8">
        <f>'50 изоляция'!M184*0.9</f>
        <v>9671.409</v>
      </c>
    </row>
    <row r="185" ht="19.5" customHeight="1" spans="1:14">
      <c r="A185" s="89" t="s">
        <v>39</v>
      </c>
      <c r="B185" s="8">
        <f>'50 изоляция'!B185*0.9</f>
        <v>2972.97</v>
      </c>
      <c r="C185" s="8">
        <f>'50 изоляция'!C185*0.9</f>
        <v>3012.174</v>
      </c>
      <c r="D185" s="88">
        <f>'50 изоляция'!D185*0.9</f>
        <v>3098.205</v>
      </c>
      <c r="E185" s="8">
        <f>'50 изоляция'!E185*0.9</f>
        <v>3393.324</v>
      </c>
      <c r="F185" s="8">
        <f>'50 изоляция'!F185*0.9</f>
        <v>3586.077</v>
      </c>
      <c r="G185" s="88">
        <f>'50 изоляция'!G185*0.9</f>
        <v>3887.73</v>
      </c>
      <c r="H185" s="8">
        <f>'50 изоляция'!H185*0.9</f>
        <v>3943.269</v>
      </c>
      <c r="I185" s="8">
        <f>'50 изоляция'!I185*0.9</f>
        <v>4094.64</v>
      </c>
      <c r="J185" s="88">
        <f>'50 изоляция'!J185*0.9</f>
        <v>4424.607</v>
      </c>
      <c r="K185" s="8">
        <f>'50 изоляция'!K185*0.9</f>
        <v>5173.839</v>
      </c>
      <c r="L185" s="8">
        <f>'50 изоляция'!L185*0.9</f>
        <v>5623.596</v>
      </c>
      <c r="M185" s="8">
        <f>'50 изоляция'!M185*0.9</f>
        <v>5892.579</v>
      </c>
    </row>
    <row r="186" ht="19.5" customHeight="1" spans="1:14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ht="19.5" customHeight="1" spans="1:14">
      <c r="A187" s="120" t="s">
        <v>35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5"/>
    </row>
    <row r="188" ht="19.5" customHeight="1" spans="1:14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83" t="s">
        <v>99</v>
      </c>
    </row>
    <row r="189" ht="19.5" customHeight="1" spans="1:14">
      <c r="A189" s="35"/>
      <c r="B189" s="35"/>
      <c r="C189" s="35"/>
      <c r="D189" s="35"/>
      <c r="E189" s="35"/>
      <c r="F189" s="35"/>
      <c r="G189" s="35"/>
      <c r="H189" s="35"/>
      <c r="I189" s="35"/>
      <c r="J189" s="35"/>
    </row>
    <row r="190" ht="19.5" customHeight="1" spans="1:14">
      <c r="A190" s="92" t="s">
        <v>120</v>
      </c>
    </row>
    <row r="191" ht="19.5" customHeight="1" spans="1:14">
      <c r="A191" s="92" t="s">
        <v>118</v>
      </c>
      <c r="K191" s="35"/>
      <c r="L191" s="35"/>
      <c r="M191" s="35"/>
    </row>
    <row r="192" ht="19.5" customHeight="1" spans="1:14">
      <c r="A192" s="92" t="s">
        <v>102</v>
      </c>
      <c r="K192" s="35"/>
      <c r="L192" s="35"/>
      <c r="M192" s="35"/>
    </row>
    <row r="193" ht="27" customHeight="1" spans="1:13">
      <c r="A193" s="17"/>
      <c r="B193" s="86" t="s">
        <v>103</v>
      </c>
      <c r="C193" s="86" t="s">
        <v>104</v>
      </c>
      <c r="D193" s="86" t="s">
        <v>105</v>
      </c>
      <c r="E193" s="86" t="s">
        <v>106</v>
      </c>
      <c r="F193" s="86" t="s">
        <v>107</v>
      </c>
      <c r="G193" s="86" t="s">
        <v>108</v>
      </c>
      <c r="H193" s="86" t="s">
        <v>109</v>
      </c>
      <c r="I193" s="86" t="s">
        <v>110</v>
      </c>
      <c r="J193" s="86" t="s">
        <v>111</v>
      </c>
      <c r="K193" s="86" t="s">
        <v>112</v>
      </c>
      <c r="L193" s="86" t="s">
        <v>113</v>
      </c>
      <c r="M193" s="86" t="s">
        <v>114</v>
      </c>
    </row>
    <row r="194" ht="19.5" customHeight="1" spans="1:13">
      <c r="A194" s="89" t="s">
        <v>68</v>
      </c>
      <c r="B194" s="8">
        <f>'50 изоляция'!B194*0.9</f>
        <v>3137.706</v>
      </c>
      <c r="C194" s="8">
        <f>'50 изоляция'!C194*0.9</f>
        <v>3190.077</v>
      </c>
      <c r="D194" s="88">
        <f>'50 изоляция'!D194*0.9</f>
        <v>3418.9155</v>
      </c>
      <c r="E194" s="8">
        <f>'50 изоляция'!E194*0.9</f>
        <v>3695.571</v>
      </c>
      <c r="F194" s="8">
        <f>'50 изоляция'!F194*0.9</f>
        <v>3984.75</v>
      </c>
      <c r="G194" s="88">
        <f>'50 изоляция'!G194*0.9</f>
        <v>4155.525</v>
      </c>
      <c r="H194" s="8">
        <f>'50 изоляция'!H194*0.9</f>
        <v>4358.178</v>
      </c>
      <c r="I194" s="8">
        <f>'50 изоляция'!I194*0.9</f>
        <v>4781.7</v>
      </c>
      <c r="J194" s="88">
        <f>'50 изоляция'!J194*0.9</f>
        <v>5237.1</v>
      </c>
      <c r="K194" s="8">
        <f>'50 изоляция'!K194*0.9</f>
        <v>6375.6</v>
      </c>
      <c r="L194" s="8">
        <f>'50 изоляция'!L194*0.9</f>
        <v>7058.7</v>
      </c>
      <c r="M194" s="8">
        <f>'50 изоляция'!M194*0.9</f>
        <v>7514.1</v>
      </c>
    </row>
    <row r="195" ht="19.5" customHeight="1" spans="1:13">
      <c r="A195" s="89" t="s">
        <v>18</v>
      </c>
      <c r="B195" s="8">
        <f>'50 изоляция'!B195*0.9</f>
        <v>2571.8715</v>
      </c>
      <c r="C195" s="8">
        <f>'50 изоляция'!C195*0.9</f>
        <v>2767.6935</v>
      </c>
      <c r="D195" s="88">
        <f>'50 изоляция'!D195*0.9</f>
        <v>3004.5015</v>
      </c>
      <c r="E195" s="8">
        <f>'50 изоляция'!E195*0.9</f>
        <v>3213.9855</v>
      </c>
      <c r="F195" s="8">
        <f>'50 изоляция'!F195*0.9</f>
        <v>3405.2535</v>
      </c>
      <c r="G195" s="88">
        <f>'50 изоляция'!G195*0.9</f>
        <v>3568.059</v>
      </c>
      <c r="H195" s="8">
        <f>'50 изоляция'!H195*0.9</f>
        <v>3771.8505</v>
      </c>
      <c r="I195" s="8">
        <f>'50 изоляция'!I195*0.9</f>
        <v>4309.2225</v>
      </c>
      <c r="J195" s="88">
        <f>'50 изоляция'!J195*0.9</f>
        <v>4435.596</v>
      </c>
      <c r="K195" s="8">
        <f>'50 изоляция'!K195*0.9</f>
        <v>5464.8</v>
      </c>
      <c r="L195" s="8">
        <f>'50 изоляция'!L195*0.9</f>
        <v>5942.97</v>
      </c>
      <c r="M195" s="8">
        <f>'50 изоляция'!M195*0.9</f>
        <v>6289.074</v>
      </c>
    </row>
    <row r="196" ht="19.5" customHeight="1" spans="1:13">
      <c r="A196" s="89" t="s">
        <v>19</v>
      </c>
      <c r="B196" s="8">
        <f>'50 изоляция'!B196*0.9</f>
        <v>2003.76</v>
      </c>
      <c r="C196" s="8">
        <f>'50 изоляция'!C196*0.9</f>
        <v>2172.258</v>
      </c>
      <c r="D196" s="88">
        <f>'50 изоляция'!D196*0.9</f>
        <v>2368.08</v>
      </c>
      <c r="E196" s="8">
        <f>'50 изоляция'!E196*0.9</f>
        <v>2545.686</v>
      </c>
      <c r="F196" s="8">
        <f>'50 изоляция'!F196*0.9</f>
        <v>2787.048</v>
      </c>
      <c r="G196" s="88">
        <f>'50 изоляция'!G196*0.9</f>
        <v>2960.1</v>
      </c>
      <c r="H196" s="8">
        <f>'50 изоляция'!H196*0.9</f>
        <v>3077.3655</v>
      </c>
      <c r="I196" s="8">
        <f>'50 изоляция'!I196*0.9</f>
        <v>3342.636</v>
      </c>
      <c r="J196" s="88">
        <f>'50 изоляция'!J196*0.9</f>
        <v>3643.2</v>
      </c>
      <c r="K196" s="8">
        <f>'50 изоляция'!K196*0.9</f>
        <v>4440.15</v>
      </c>
      <c r="L196" s="8">
        <f>'50 изоляция'!L196*0.9</f>
        <v>4918.32</v>
      </c>
      <c r="M196" s="8">
        <f>'50 изоляция'!M196*0.9</f>
        <v>5237.1</v>
      </c>
    </row>
    <row r="197" ht="19.5" customHeight="1" spans="1:13">
      <c r="A197" s="89" t="s">
        <v>20</v>
      </c>
      <c r="B197" s="8">
        <f>'50 изоляция'!B197*0.9</f>
        <v>1663.3485</v>
      </c>
      <c r="C197" s="8">
        <f>'50 изоляция'!C197*0.9</f>
        <v>1814.769</v>
      </c>
      <c r="D197" s="88">
        <f>'50 изоляция'!D197*0.9</f>
        <v>1985.544</v>
      </c>
      <c r="E197" s="8">
        <f>'50 изоляция'!E197*0.9</f>
        <v>2144.934</v>
      </c>
      <c r="F197" s="8">
        <f>'50 изоляция'!F197*0.9</f>
        <v>2311.155</v>
      </c>
      <c r="G197" s="88">
        <f>'50 изоляция'!G197*0.9</f>
        <v>2390.85</v>
      </c>
      <c r="H197" s="8">
        <f>'50 изоляция'!H197*0.9</f>
        <v>2513.808</v>
      </c>
      <c r="I197" s="8">
        <f>'50 изоляция'!I197*0.9</f>
        <v>2692.5525</v>
      </c>
      <c r="J197" s="88">
        <f>'50 изоляция'!J197*0.9</f>
        <v>2960.1</v>
      </c>
      <c r="K197" s="8">
        <f>'50 изоляция'!K197*0.9</f>
        <v>3565.782</v>
      </c>
      <c r="L197" s="8">
        <f>'50 изоляция'!L197*0.9</f>
        <v>3928.9635</v>
      </c>
      <c r="M197" s="8">
        <f>'50 изоляция'!M197*0.9</f>
        <v>4171.464</v>
      </c>
    </row>
    <row r="198" ht="19.5" customHeight="1" spans="1:13">
      <c r="A198" s="89" t="s">
        <v>21</v>
      </c>
      <c r="B198" s="8">
        <f>'50 изоляция'!B198*0.9</f>
        <v>1577.961</v>
      </c>
      <c r="C198" s="8">
        <f>'50 изоляция'!C198*0.9</f>
        <v>1597.3155</v>
      </c>
      <c r="D198" s="88">
        <f>'50 изоляция'!D198*0.9</f>
        <v>1665.6255</v>
      </c>
      <c r="E198" s="8">
        <f>'50 изоляция'!E198*0.9</f>
        <v>1714.581</v>
      </c>
      <c r="F198" s="8">
        <f>'50 изоляция'!F198*0.9</f>
        <v>1842.093</v>
      </c>
      <c r="G198" s="88">
        <f>'50 изоляция'!G198*0.9</f>
        <v>1932.0345</v>
      </c>
      <c r="H198" s="8">
        <f>'50 изоляция'!H198*0.9</f>
        <v>1970.7435</v>
      </c>
      <c r="I198" s="8">
        <f>'50 изоляция'!I198*0.9</f>
        <v>2098.2555</v>
      </c>
      <c r="J198" s="88">
        <f>'50 изоляция'!J198*0.9</f>
        <v>2376.0495</v>
      </c>
      <c r="K198" s="8">
        <f>'50 изоляция'!K198*0.9</f>
        <v>2734.677</v>
      </c>
      <c r="L198" s="8">
        <f>'50 изоляция'!L198*0.9</f>
        <v>2949.8535</v>
      </c>
      <c r="M198" s="8">
        <f>'50 изоляция'!M198*0.9</f>
        <v>3093.3045</v>
      </c>
    </row>
    <row r="199" ht="19.5" customHeight="1" spans="1:13">
      <c r="A199" s="89" t="s">
        <v>22</v>
      </c>
      <c r="B199" s="8">
        <f>'50 изоляция'!B199*0.9</f>
        <v>1203.3945</v>
      </c>
      <c r="C199" s="8">
        <f>'50 изоляция'!C199*0.9</f>
        <v>1214.7795</v>
      </c>
      <c r="D199" s="88">
        <f>'50 изоляция'!D199*0.9</f>
        <v>1254.627</v>
      </c>
      <c r="E199" s="8">
        <f>'50 изоляция'!E199*0.9</f>
        <v>1284.228</v>
      </c>
      <c r="F199" s="8">
        <f>'50 изоляция'!F199*0.9</f>
        <v>1358.2305</v>
      </c>
      <c r="G199" s="88">
        <f>'50 изоляция'!G199*0.9</f>
        <v>1420.848</v>
      </c>
      <c r="H199" s="8">
        <f>'50 изоляция'!H199*0.9</f>
        <v>1443.618</v>
      </c>
      <c r="I199" s="8">
        <f>'50 изоляция'!I199*0.9</f>
        <v>1618.947</v>
      </c>
      <c r="J199" s="88">
        <f>'50 изоляция'!J199*0.9</f>
        <v>1794.276</v>
      </c>
      <c r="K199" s="8">
        <f>'50 изоляция'!K199*0.9</f>
        <v>2015.145</v>
      </c>
      <c r="L199" s="8">
        <f>'50 изоляция'!L199*0.9</f>
        <v>2147.211</v>
      </c>
      <c r="M199" s="8">
        <f>'50 изоляция'!M199*0.9</f>
        <v>2236.014</v>
      </c>
    </row>
    <row r="200" ht="19.5" customHeight="1" spans="1:13">
      <c r="A200" s="89" t="s">
        <v>23</v>
      </c>
      <c r="B200" s="8">
        <f>'50 изоляция'!B200*0.9</f>
        <v>3549.843</v>
      </c>
      <c r="C200" s="8">
        <f>'50 изоляция'!C200*0.9</f>
        <v>3839.022</v>
      </c>
      <c r="D200" s="88">
        <f>'50 изоляция'!D200*0.9</f>
        <v>4015.4895</v>
      </c>
      <c r="E200" s="8">
        <f>'50 изоляция'!E200*0.9</f>
        <v>4431.042</v>
      </c>
      <c r="F200" s="8">
        <f>'50 изоляция'!F200*0.9</f>
        <v>4720.221</v>
      </c>
      <c r="G200" s="88">
        <f>'50 изоляция'!G200*0.9</f>
        <v>5018.508</v>
      </c>
      <c r="H200" s="8">
        <f>'50 изоляция'!H200*0.9</f>
        <v>5303.133</v>
      </c>
      <c r="I200" s="8">
        <f>'50 изоляция'!I200*0.9</f>
        <v>5947.524</v>
      </c>
      <c r="J200" s="88">
        <f>'50 изоляция'!J200*0.9</f>
        <v>6605.577</v>
      </c>
      <c r="K200" s="8">
        <f>'50 изоляция'!K200*0.9</f>
        <v>8283.726</v>
      </c>
      <c r="L200" s="8">
        <f>'50 изоляция'!L200*0.9</f>
        <v>9130.77</v>
      </c>
      <c r="M200" s="8">
        <f>'50 изоляция'!M200*0.9</f>
        <v>9565.677</v>
      </c>
    </row>
    <row r="201" ht="19.5" customHeight="1" spans="1:13">
      <c r="A201" s="89" t="s">
        <v>24</v>
      </c>
      <c r="B201" s="8">
        <f>'50 изоляция'!B201*0.9</f>
        <v>3322.143</v>
      </c>
      <c r="C201" s="8">
        <f>'50 изоляция'!C201*0.9</f>
        <v>3611.322</v>
      </c>
      <c r="D201" s="88">
        <f>'50 изоляция'!D201*0.9</f>
        <v>3787.7895</v>
      </c>
      <c r="E201" s="8">
        <f>'50 изоляция'!E201*0.9</f>
        <v>4203.342</v>
      </c>
      <c r="F201" s="8">
        <f>'50 изоляция'!F201*0.9</f>
        <v>4492.521</v>
      </c>
      <c r="G201" s="88">
        <f>'50 изоляция'!G201*0.9</f>
        <v>4790.808</v>
      </c>
      <c r="H201" s="8">
        <f>'50 изоляция'!H201*0.9</f>
        <v>5075.433</v>
      </c>
      <c r="I201" s="8">
        <f>'50 изоляция'!I201*0.9</f>
        <v>5719.824</v>
      </c>
      <c r="J201" s="88">
        <f>'50 изоляция'!J201*0.9</f>
        <v>6377.877</v>
      </c>
      <c r="K201" s="8">
        <f>'50 изоляция'!K201*0.9</f>
        <v>8056.026</v>
      </c>
      <c r="L201" s="8">
        <f>'50 изоляция'!L201*0.9</f>
        <v>8903.07</v>
      </c>
      <c r="M201" s="8">
        <f>'50 изоляция'!M201*0.9</f>
        <v>9358.47</v>
      </c>
    </row>
    <row r="202" ht="19.5" customHeight="1" spans="1:13">
      <c r="A202" s="89" t="s">
        <v>26</v>
      </c>
      <c r="B202" s="8">
        <f>'50 изоляция'!B202*0.9</f>
        <v>4257.99</v>
      </c>
      <c r="C202" s="8">
        <f>'50 изоляция'!C202*0.9</f>
        <v>4544.892</v>
      </c>
      <c r="D202" s="88">
        <f>'50 изоляция'!D202*0.9</f>
        <v>4914.9045</v>
      </c>
      <c r="E202" s="8">
        <f>'50 изоляция'!E202*0.9</f>
        <v>5530.833</v>
      </c>
      <c r="F202" s="8">
        <f>'50 изоляция'!F202*0.9</f>
        <v>5599.143</v>
      </c>
      <c r="G202" s="88">
        <f>'50 изоляция'!G202*0.9</f>
        <v>5977.125</v>
      </c>
      <c r="H202" s="8">
        <f>'50 изоляция'!H202*0.9</f>
        <v>6312.9825</v>
      </c>
      <c r="I202" s="8">
        <f>'50 изоляция'!I202*0.9</f>
        <v>7021.1295</v>
      </c>
      <c r="J202" s="88">
        <f>'50 изоляция'!J202*0.9</f>
        <v>7625.673</v>
      </c>
      <c r="K202" s="8">
        <f>'50 изоляция'!K202*0.9</f>
        <v>9365.301</v>
      </c>
      <c r="L202" s="8">
        <f>'50 изоляция'!L202*0.9</f>
        <v>10409.3055</v>
      </c>
      <c r="M202" s="8">
        <f>'50 изоляция'!M202*0.9</f>
        <v>11104.929</v>
      </c>
    </row>
    <row r="203" ht="19.5" customHeight="1" spans="1:13">
      <c r="A203" s="89" t="s">
        <v>27</v>
      </c>
      <c r="B203" s="8">
        <f>'50 изоляция'!B203*0.9</f>
        <v>5756.256</v>
      </c>
      <c r="C203" s="8">
        <f>'50 изоляция'!C203*0.9</f>
        <v>6049.989</v>
      </c>
      <c r="D203" s="88">
        <f>'50 изоляция'!D203*0.9</f>
        <v>6322.0905</v>
      </c>
      <c r="E203" s="8">
        <f>'50 изоляция'!E203*0.9</f>
        <v>6772.9365</v>
      </c>
      <c r="F203" s="8">
        <f>'50 изоляция'!F203*0.9</f>
        <v>7127.01</v>
      </c>
      <c r="G203" s="88">
        <f>'50 изоляция'!G203*0.9</f>
        <v>7904.6055</v>
      </c>
      <c r="H203" s="8">
        <f>'50 изоляция'!H203*0.9</f>
        <v>8763.0345</v>
      </c>
      <c r="I203" s="8">
        <f>'50 изоляция'!I203*0.9</f>
        <v>9653.3415</v>
      </c>
      <c r="J203" s="88">
        <f>'50 изоляция'!J203*0.9</f>
        <v>11069.6355</v>
      </c>
      <c r="K203" s="8">
        <f>'50 изоляция'!K203*0.9</f>
        <v>13073.3955</v>
      </c>
      <c r="L203" s="8">
        <f>'50 изоляция'!L203*0.9</f>
        <v>14275.6515</v>
      </c>
      <c r="M203" s="8">
        <f>'50 изоляция'!M203*0.9</f>
        <v>14997.4605</v>
      </c>
    </row>
    <row r="204" ht="19.5" customHeight="1" spans="1:13">
      <c r="A204" s="89" t="s">
        <v>70</v>
      </c>
      <c r="B204" s="8">
        <f>'50 изоляция'!B204*0.9</f>
        <v>10413.8595</v>
      </c>
      <c r="C204" s="8">
        <f>'50 изоляция'!C204*0.9</f>
        <v>10763.379</v>
      </c>
      <c r="D204" s="88">
        <f>'50 изоляция'!D204*0.9</f>
        <v>11063.943</v>
      </c>
      <c r="E204" s="8">
        <f>'50 изоляция'!E204*0.9</f>
        <v>11397.5235</v>
      </c>
      <c r="F204" s="8">
        <f>'50 изоляция'!F204*0.9</f>
        <v>11768.6745</v>
      </c>
      <c r="G204" s="88">
        <f>'50 изоляция'!G204*0.9</f>
        <v>12587.256</v>
      </c>
      <c r="H204" s="8">
        <f>'50 изоляция'!H204*0.9</f>
        <v>13028.994</v>
      </c>
      <c r="I204" s="8">
        <f>'50 изоляция'!I204*0.9</f>
        <v>13980.78</v>
      </c>
      <c r="J204" s="88">
        <f>'50 изоляция'!J204*0.9</f>
        <v>15713.577</v>
      </c>
      <c r="K204" s="8">
        <f>'50 изоляция'!K204*0.9</f>
        <v>18693.0315</v>
      </c>
      <c r="L204" s="8">
        <f>'50 изоляция'!L204*0.9</f>
        <v>20480.4765</v>
      </c>
      <c r="M204" s="8">
        <f>'50 изоляция'!M204*0.9</f>
        <v>21723.7185</v>
      </c>
    </row>
    <row r="205" ht="19.5" customHeight="1" spans="1:13">
      <c r="A205" s="89" t="s">
        <v>71</v>
      </c>
      <c r="B205" s="8">
        <f>'50 изоляция'!B205*0.9</f>
        <v>1248.9345</v>
      </c>
      <c r="C205" s="8">
        <f>'50 изоляция'!C205*0.9</f>
        <v>1275.12</v>
      </c>
      <c r="D205" s="88">
        <f>'50 изоляция'!D205*0.9</f>
        <v>1366.2</v>
      </c>
      <c r="E205" s="8">
        <f>'50 изоляция'!E205*0.9</f>
        <v>1514.205</v>
      </c>
      <c r="F205" s="8">
        <f>'50 изоляция'!F205*0.9</f>
        <v>1626.9165</v>
      </c>
      <c r="G205" s="88">
        <f>'50 изоляция'!G205*0.9</f>
        <v>1725.966</v>
      </c>
      <c r="H205" s="8">
        <f>'50 изоляция'!H205*0.9</f>
        <v>1873.971</v>
      </c>
      <c r="I205" s="8">
        <f>'50 изоляция'!I205*0.9</f>
        <v>1935.45</v>
      </c>
      <c r="J205" s="88">
        <f>'50 изоляция'!J205*0.9</f>
        <v>2163.15</v>
      </c>
      <c r="K205" s="8">
        <f>'50 изоляция'!K205*0.9</f>
        <v>2475.099</v>
      </c>
      <c r="L205" s="8">
        <f>'50 изоляция'!L205*0.9</f>
        <v>2661.813</v>
      </c>
      <c r="M205" s="8">
        <f>'50 изоляция'!M205*0.9</f>
        <v>2774.5245</v>
      </c>
    </row>
    <row r="206" ht="19.5" customHeight="1" spans="1:13">
      <c r="A206" s="89" t="s">
        <v>72</v>
      </c>
      <c r="B206" s="8">
        <f>'50 изоляция'!B206*0.9</f>
        <v>3497.472</v>
      </c>
      <c r="C206" s="8">
        <f>'50 изоляция'!C206*0.9</f>
        <v>3605.6295</v>
      </c>
      <c r="D206" s="88">
        <f>'50 изоляция'!D206*0.9</f>
        <v>3655.7235</v>
      </c>
      <c r="E206" s="8">
        <f>'50 изоляция'!E206*0.9</f>
        <v>3796.8975</v>
      </c>
      <c r="F206" s="8">
        <f>'50 изоляция'!F206*0.9</f>
        <v>3923.271</v>
      </c>
      <c r="G206" s="88">
        <f>'50 изоляция'!G206*0.9</f>
        <v>4224.9735</v>
      </c>
      <c r="H206" s="8">
        <f>'50 изоляция'!H206*0.9</f>
        <v>4365.009</v>
      </c>
      <c r="I206" s="8">
        <f>'50 изоляция'!I206*0.9</f>
        <v>4672.404</v>
      </c>
      <c r="J206" s="88">
        <f>'50 изоляция'!J206*0.9</f>
        <v>5241.654</v>
      </c>
      <c r="K206" s="8">
        <f>'50 изоляция'!K206*0.9</f>
        <v>6323.229</v>
      </c>
      <c r="L206" s="8">
        <f>'50 изоляция'!L206*0.9</f>
        <v>6972.174</v>
      </c>
      <c r="M206" s="8">
        <f>'50 изоляция'!M206*0.9</f>
        <v>7361.541</v>
      </c>
    </row>
    <row r="207" ht="19.5" customHeight="1" spans="1:13">
      <c r="A207" s="89" t="s">
        <v>73</v>
      </c>
      <c r="B207" s="8">
        <f>'50 изоляция'!B207*0.9</f>
        <v>1417.4325</v>
      </c>
      <c r="C207" s="8">
        <f>'50 изоляция'!C207*0.9</f>
        <v>1476.6345</v>
      </c>
      <c r="D207" s="88">
        <f>'50 изоляция'!D207*0.9</f>
        <v>1581.3765</v>
      </c>
      <c r="E207" s="8">
        <f>'50 изоляция'!E207*0.9</f>
        <v>1667.9025</v>
      </c>
      <c r="F207" s="8">
        <f>'50 изоляция'!F207*0.9</f>
        <v>1730.52</v>
      </c>
      <c r="G207" s="88">
        <f>'50 изоляция'!G207*0.9</f>
        <v>1940.004</v>
      </c>
      <c r="H207" s="8">
        <f>'50 изоляция'!H207*0.9</f>
        <v>2076.624</v>
      </c>
      <c r="I207" s="8">
        <f>'50 изоляция'!I207*0.9</f>
        <v>2418.174</v>
      </c>
      <c r="J207" s="88">
        <f>'50 изоляция'!J207*0.9</f>
        <v>2623.104</v>
      </c>
      <c r="K207" s="8">
        <f>'50 изоляция'!K207*0.9</f>
        <v>3217.401</v>
      </c>
      <c r="L207" s="8">
        <f>'50 изоляция'!L207*0.9</f>
        <v>3573.7515</v>
      </c>
      <c r="M207" s="8">
        <f>'50 изоляция'!M207*0.9</f>
        <v>3787.7895</v>
      </c>
    </row>
    <row r="208" ht="19.5" customHeight="1" spans="1:13">
      <c r="A208" s="89" t="s">
        <v>74</v>
      </c>
      <c r="B208" s="8">
        <f>'50 изоляция'!B208*0.9</f>
        <v>1789.722</v>
      </c>
      <c r="C208" s="8">
        <f>'50 изоляция'!C208*0.9</f>
        <v>1878.525</v>
      </c>
      <c r="D208" s="88">
        <f>'50 изоляция'!D208*0.9</f>
        <v>2003.76</v>
      </c>
      <c r="E208" s="8">
        <f>'50 изоляция'!E208*0.9</f>
        <v>2070</v>
      </c>
      <c r="F208" s="8">
        <f>'50 изоляция'!F208*0.9</f>
        <v>2187.0585</v>
      </c>
      <c r="G208" s="88">
        <f>'50 изоляция'!G208*0.9</f>
        <v>2546.8245</v>
      </c>
      <c r="H208" s="8">
        <f>'50 изоляция'!H208*0.9</f>
        <v>2717.5995</v>
      </c>
      <c r="I208" s="8">
        <f>'50 изоляция'!I208*0.9</f>
        <v>3015.8865</v>
      </c>
      <c r="J208" s="88">
        <f>'50 изоляция'!J208*0.9</f>
        <v>3363.129</v>
      </c>
      <c r="K208" s="8">
        <f>'50 изоляция'!K208*0.9</f>
        <v>4037.121</v>
      </c>
      <c r="L208" s="8">
        <f>'50 изоляция'!L208*0.9</f>
        <v>4441.2885</v>
      </c>
      <c r="M208" s="8">
        <f>'50 изоляция'!M208*0.9</f>
        <v>4683.789</v>
      </c>
    </row>
    <row r="209" ht="19.5" customHeight="1" spans="1:14">
      <c r="A209" s="89" t="s">
        <v>77</v>
      </c>
      <c r="B209" s="8">
        <f>'50 изоляция'!B209*0.9</f>
        <v>2362.3875</v>
      </c>
      <c r="C209" s="8">
        <f>'50 изоляция'!C209*0.9</f>
        <v>2425.005</v>
      </c>
      <c r="D209" s="88">
        <f>'50 изоляция'!D209*0.9</f>
        <v>2621.9655</v>
      </c>
      <c r="E209" s="8">
        <f>'50 изоляция'!E209*0.9</f>
        <v>2846.25</v>
      </c>
      <c r="F209" s="8">
        <f>'50 изоляция'!F209*0.9</f>
        <v>3017.025</v>
      </c>
      <c r="G209" s="88">
        <f>'50 изоляция'!G209*0.9</f>
        <v>3414.3615</v>
      </c>
      <c r="H209" s="8">
        <f>'50 изоляция'!H209*0.9</f>
        <v>3730.8645</v>
      </c>
      <c r="I209" s="8">
        <f>'50 изоляция'!I209*0.9</f>
        <v>4047.3675</v>
      </c>
      <c r="J209" s="88">
        <f>'50 изоляция'!J209*0.9</f>
        <v>4426.488</v>
      </c>
      <c r="K209" s="8">
        <f>'50 изоляция'!K209*0.9</f>
        <v>5373.72</v>
      </c>
      <c r="L209" s="8">
        <f>'50 изоляция'!L209*0.9</f>
        <v>5941.8315</v>
      </c>
      <c r="M209" s="8">
        <f>'50 изоляция'!M209*0.9</f>
        <v>6320.952</v>
      </c>
    </row>
    <row r="210" ht="19.5" customHeight="1" spans="1:14">
      <c r="A210" s="17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</row>
    <row r="211" ht="19.5" customHeight="1" spans="1:14">
      <c r="A211" s="120" t="s">
        <v>35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5"/>
    </row>
    <row r="212" ht="19.5" customHeight="1" spans="1:14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83" t="s">
        <v>99</v>
      </c>
    </row>
    <row r="213" ht="19.5" customHeight="1" spans="1:14">
      <c r="A213" s="35"/>
      <c r="B213" s="35"/>
      <c r="C213" s="35"/>
      <c r="D213" s="35"/>
      <c r="E213" s="35"/>
      <c r="F213" s="35"/>
      <c r="G213" s="35"/>
      <c r="H213" s="35"/>
      <c r="I213" s="35"/>
      <c r="J213" s="35"/>
    </row>
    <row r="214" ht="19.5" customHeight="1" spans="1:14">
      <c r="A214" s="92" t="s">
        <v>121</v>
      </c>
      <c r="B214" s="35"/>
      <c r="C214" s="35"/>
      <c r="D214" s="35"/>
      <c r="E214" s="35"/>
      <c r="F214" s="35"/>
      <c r="G214" s="35"/>
      <c r="H214" s="35"/>
      <c r="I214" s="35"/>
      <c r="J214" s="35"/>
    </row>
    <row r="215" ht="19.5" customHeight="1" spans="1:14">
      <c r="A215" s="92" t="s">
        <v>118</v>
      </c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</row>
    <row r="216" ht="19.5" customHeight="1" spans="1:14">
      <c r="A216" s="92" t="s">
        <v>102</v>
      </c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</row>
    <row r="217" ht="27" customHeight="1" spans="1:14">
      <c r="A217" s="17"/>
      <c r="B217" s="86" t="s">
        <v>103</v>
      </c>
      <c r="C217" s="86" t="s">
        <v>104</v>
      </c>
      <c r="D217" s="86" t="s">
        <v>105</v>
      </c>
      <c r="E217" s="86" t="s">
        <v>106</v>
      </c>
      <c r="F217" s="86" t="s">
        <v>107</v>
      </c>
      <c r="G217" s="86" t="s">
        <v>108</v>
      </c>
      <c r="H217" s="86" t="s">
        <v>109</v>
      </c>
      <c r="I217" s="86" t="s">
        <v>110</v>
      </c>
      <c r="J217" s="86" t="s">
        <v>111</v>
      </c>
      <c r="K217" s="86" t="s">
        <v>112</v>
      </c>
      <c r="L217" s="86" t="s">
        <v>113</v>
      </c>
      <c r="M217" s="86" t="s">
        <v>114</v>
      </c>
    </row>
    <row r="218" ht="19.5" customHeight="1" spans="1:14">
      <c r="A218" s="89" t="s">
        <v>68</v>
      </c>
      <c r="B218" s="8">
        <f>'50 изоляция'!B218*0.9</f>
        <v>3635.2305</v>
      </c>
      <c r="C218" s="8">
        <f>'50 изоляция'!C218*0.9</f>
        <v>3956.2875</v>
      </c>
      <c r="D218" s="88">
        <f>'50 изоляция'!D218*0.9</f>
        <v>4212.45</v>
      </c>
      <c r="E218" s="8">
        <f>'50 изоляция'!E218*0.9</f>
        <v>4565.385</v>
      </c>
      <c r="F218" s="8">
        <f>'50 изоляция'!F218*0.9</f>
        <v>4842.0405</v>
      </c>
      <c r="G218" s="88">
        <f>'50 изоляция'!G218*0.9</f>
        <v>5053.8015</v>
      </c>
      <c r="H218" s="8">
        <f>'50 изоляция'!H218*0.9</f>
        <v>5541.0795</v>
      </c>
      <c r="I218" s="8">
        <f>'50 изоляция'!I218*0.9</f>
        <v>6051.1275</v>
      </c>
      <c r="J218" s="88">
        <f>'50 изоляция'!J218*0.9</f>
        <v>6506.5275</v>
      </c>
      <c r="K218" s="8">
        <f>'50 изоляция'!K218*0.9</f>
        <v>8311.05</v>
      </c>
      <c r="L218" s="8">
        <f>'50 изоляция'!L218*0.9</f>
        <v>9108</v>
      </c>
      <c r="M218" s="8">
        <f>'50 изоляция'!M218*0.9</f>
        <v>9791.1</v>
      </c>
    </row>
    <row r="219" ht="19.5" customHeight="1" spans="1:14">
      <c r="A219" s="89" t="s">
        <v>18</v>
      </c>
      <c r="B219" s="8">
        <f>'50 изоляция'!B219*0.9</f>
        <v>3136.5675</v>
      </c>
      <c r="C219" s="8">
        <f>'50 изоляция'!C219*0.9</f>
        <v>3346.0515</v>
      </c>
      <c r="D219" s="88">
        <f>'50 изоляция'!D219*0.9</f>
        <v>3643.2</v>
      </c>
      <c r="E219" s="8">
        <f>'50 изоляция'!E219*0.9</f>
        <v>3860.6535</v>
      </c>
      <c r="F219" s="8">
        <f>'50 изоляция'!F219*0.9</f>
        <v>4098.6</v>
      </c>
      <c r="G219" s="88">
        <f>'50 изоляция'!G219*0.9</f>
        <v>4204.4805</v>
      </c>
      <c r="H219" s="8">
        <f>'50 изоляция'!H219*0.9</f>
        <v>4770.315</v>
      </c>
      <c r="I219" s="8">
        <f>'50 изоляция'!I219*0.9</f>
        <v>5295.1635</v>
      </c>
      <c r="J219" s="88">
        <f>'50 изоляция'!J219*0.9</f>
        <v>5464.8</v>
      </c>
      <c r="K219" s="8">
        <f>'50 изоляция'!K219*0.9</f>
        <v>7058.7</v>
      </c>
      <c r="L219" s="8">
        <f>'50 изоляция'!L219*0.9</f>
        <v>7741.8</v>
      </c>
      <c r="M219" s="8">
        <f>'50 изоляция'!M219*0.9</f>
        <v>8367.975</v>
      </c>
    </row>
    <row r="220" ht="19.5" customHeight="1" spans="1:14">
      <c r="A220" s="89" t="s">
        <v>19</v>
      </c>
      <c r="B220" s="8">
        <f>'50 изоляция'!B220*0.9</f>
        <v>2559.348</v>
      </c>
      <c r="C220" s="8">
        <f>'50 изоляция'!C220*0.9</f>
        <v>2736.954</v>
      </c>
      <c r="D220" s="88">
        <f>'50 изоляция'!D220*0.9</f>
        <v>2960.1</v>
      </c>
      <c r="E220" s="8">
        <f>'50 изоляция'!E220*0.9</f>
        <v>3154.7835</v>
      </c>
      <c r="F220" s="8">
        <f>'50 изоляция'!F220*0.9</f>
        <v>3349.467</v>
      </c>
      <c r="G220" s="88">
        <f>'50 изоляция'!G220*0.9</f>
        <v>3697.848</v>
      </c>
      <c r="H220" s="8">
        <f>'50 изоляция'!H220*0.9</f>
        <v>3884.562</v>
      </c>
      <c r="I220" s="8">
        <f>'50 изоляция'!I220*0.9</f>
        <v>4310.361</v>
      </c>
      <c r="J220" s="88">
        <f>'50 изоляция'!J220*0.9</f>
        <v>4554</v>
      </c>
      <c r="K220" s="8">
        <f>'50 изоляция'!K220*0.9</f>
        <v>5841.6435</v>
      </c>
      <c r="L220" s="8">
        <f>'50 изоляция'!L220*0.9</f>
        <v>6445.0485</v>
      </c>
      <c r="M220" s="8">
        <f>'50 изоляция'!M220*0.9</f>
        <v>6846.939</v>
      </c>
    </row>
    <row r="221" ht="19.5" customHeight="1" spans="1:14">
      <c r="A221" s="89" t="s">
        <v>20</v>
      </c>
      <c r="B221" s="8">
        <f>'50 изоляция'!B221*0.9</f>
        <v>2336.202</v>
      </c>
      <c r="C221" s="8">
        <f>'50 изоляция'!C221*0.9</f>
        <v>2390.85</v>
      </c>
      <c r="D221" s="88">
        <f>'50 изоляция'!D221*0.9</f>
        <v>2526.3315</v>
      </c>
      <c r="E221" s="8">
        <f>'50 изоляция'!E221*0.9</f>
        <v>2620.827</v>
      </c>
      <c r="F221" s="8">
        <f>'50 изоляция'!F221*0.9</f>
        <v>2869.02</v>
      </c>
      <c r="G221" s="88">
        <f>'50 изоляция'!G221*0.9</f>
        <v>2990.8395</v>
      </c>
      <c r="H221" s="8">
        <f>'50 изоляция'!H221*0.9</f>
        <v>3078.504</v>
      </c>
      <c r="I221" s="8">
        <f>'50 изоляция'!I221*0.9</f>
        <v>3316.4505</v>
      </c>
      <c r="J221" s="88">
        <f>'50 изоляция'!J221*0.9</f>
        <v>3802.59</v>
      </c>
      <c r="K221" s="8">
        <f>'50 изоляция'!K221*0.9</f>
        <v>4457.2275</v>
      </c>
      <c r="L221" s="8">
        <f>'50 изоляция'!L221*0.9</f>
        <v>4850.01</v>
      </c>
      <c r="M221" s="8">
        <f>'50 изоляция'!M221*0.9</f>
        <v>5085.6795</v>
      </c>
    </row>
    <row r="222" ht="19.5" customHeight="1" spans="1:14">
      <c r="A222" s="89" t="s">
        <v>21</v>
      </c>
      <c r="B222" s="8">
        <f>'50 изоляция'!B222*0.9</f>
        <v>1858.032</v>
      </c>
      <c r="C222" s="8">
        <f>'50 изоляция'!C222*0.9</f>
        <v>1897.8795</v>
      </c>
      <c r="D222" s="88">
        <f>'50 изоляция'!D222*0.9</f>
        <v>1994.652</v>
      </c>
      <c r="E222" s="8">
        <f>'50 изоляция'!E222*0.9</f>
        <v>2061.8235</v>
      </c>
      <c r="F222" s="8">
        <f>'50 изоляция'!F222*0.9</f>
        <v>2239.4295</v>
      </c>
      <c r="G222" s="88">
        <f>'50 изоляция'!G222*0.9</f>
        <v>2333.925</v>
      </c>
      <c r="H222" s="8">
        <f>'50 изоляция'!H222*0.9</f>
        <v>2396.5425</v>
      </c>
      <c r="I222" s="8">
        <f>'50 изоляция'!I222*0.9</f>
        <v>2566.179</v>
      </c>
      <c r="J222" s="88">
        <f>'50 изоляция'!J222*0.9</f>
        <v>2920.2525</v>
      </c>
      <c r="K222" s="8">
        <f>'50 изоляция'!K222*0.9</f>
        <v>3396.1455</v>
      </c>
      <c r="L222" s="8">
        <f>'50 изоляция'!L222*0.9</f>
        <v>3681.909</v>
      </c>
      <c r="M222" s="8">
        <f>'50 изоляция'!M222*0.9</f>
        <v>3852.684</v>
      </c>
    </row>
    <row r="223" ht="19.5" customHeight="1" spans="1:14">
      <c r="A223" s="89" t="s">
        <v>22</v>
      </c>
      <c r="B223" s="8">
        <f>'50 изоляция'!B223*0.9</f>
        <v>1400.355</v>
      </c>
      <c r="C223" s="8">
        <f>'50 изоляция'!C223*0.9</f>
        <v>1421.9865</v>
      </c>
      <c r="D223" s="88">
        <f>'50 изоляция'!D223*0.9</f>
        <v>1476.6345</v>
      </c>
      <c r="E223" s="8">
        <f>'50 изоляция'!E223*0.9</f>
        <v>1514.205</v>
      </c>
      <c r="F223" s="8">
        <f>'50 изоляция'!F223*0.9</f>
        <v>1615.5315</v>
      </c>
      <c r="G223" s="88">
        <f>'50 изоляция'!G223*0.9</f>
        <v>1681.5645</v>
      </c>
      <c r="H223" s="8">
        <f>'50 изоляция'!H223*0.9</f>
        <v>1716.858</v>
      </c>
      <c r="I223" s="8">
        <f>'50 изоляция'!I223*0.9</f>
        <v>1812.492</v>
      </c>
      <c r="J223" s="88">
        <f>'50 изоляция'!J223*0.9</f>
        <v>2027.6685</v>
      </c>
      <c r="K223" s="8">
        <f>'50 изоляция'!K223*0.9</f>
        <v>2308.878</v>
      </c>
      <c r="L223" s="8">
        <f>'50 изоляция'!L223*0.9</f>
        <v>2477.376</v>
      </c>
      <c r="M223" s="8">
        <f>'50 изоляция'!M223*0.9</f>
        <v>2578.7025</v>
      </c>
    </row>
    <row r="224" ht="19.5" customHeight="1" spans="1:14">
      <c r="A224" s="89" t="s">
        <v>23</v>
      </c>
      <c r="B224" s="8">
        <f>'50 изоляция'!B224*0.9</f>
        <v>4209.0345</v>
      </c>
      <c r="C224" s="8">
        <f>'50 изоляция'!C224*0.9</f>
        <v>4490.244</v>
      </c>
      <c r="D224" s="88">
        <f>'50 изоляция'!D224*0.9</f>
        <v>4937.6745</v>
      </c>
      <c r="E224" s="8">
        <f>'50 изоляция'!E224*0.9</f>
        <v>5263.2855</v>
      </c>
      <c r="F224" s="8">
        <f>'50 изоляция'!F224*0.9</f>
        <v>5689.0845</v>
      </c>
      <c r="G224" s="88">
        <f>'50 изоляция'!G224*0.9</f>
        <v>6258.3345</v>
      </c>
      <c r="H224" s="8">
        <f>'50 изоляция'!H224*0.9</f>
        <v>6826.446</v>
      </c>
      <c r="I224" s="8">
        <f>'50 изоляция'!I224*0.9</f>
        <v>7043.8995</v>
      </c>
      <c r="J224" s="88">
        <f>'50 изоляция'!J224*0.9</f>
        <v>7746.354</v>
      </c>
      <c r="K224" s="8">
        <f>'50 изоляция'!K224*0.9</f>
        <v>9764.9145</v>
      </c>
      <c r="L224" s="8">
        <f>'50 изоляция'!L224*0.9</f>
        <v>10976.2785</v>
      </c>
      <c r="M224" s="8">
        <f>'50 изоляция'!M224*0.9</f>
        <v>11783.475</v>
      </c>
    </row>
    <row r="225" ht="19.5" customHeight="1" spans="1:14">
      <c r="A225" s="89" t="s">
        <v>24</v>
      </c>
      <c r="B225" s="8">
        <f>'50 изоляция'!B225*0.9</f>
        <v>3981.3345</v>
      </c>
      <c r="C225" s="8">
        <f>'50 изоляция'!C225*0.9</f>
        <v>4262.544</v>
      </c>
      <c r="D225" s="88">
        <f>'50 изоляция'!D225*0.9</f>
        <v>4709.9745</v>
      </c>
      <c r="E225" s="8">
        <f>'50 изоляция'!E225*0.9</f>
        <v>5035.5855</v>
      </c>
      <c r="F225" s="8">
        <f>'50 изоляция'!F225*0.9</f>
        <v>5461.3845</v>
      </c>
      <c r="G225" s="88">
        <f>'50 изоляция'!G225*0.9</f>
        <v>6030.6345</v>
      </c>
      <c r="H225" s="8">
        <f>'50 изоляция'!H225*0.9</f>
        <v>6598.746</v>
      </c>
      <c r="I225" s="8">
        <f>'50 изоляция'!I225*0.9</f>
        <v>6816.1995</v>
      </c>
      <c r="J225" s="88">
        <f>'50 изоляция'!J225*0.9</f>
        <v>7518.654</v>
      </c>
      <c r="K225" s="8">
        <f>'50 изоляция'!K225*0.9</f>
        <v>9537.2145</v>
      </c>
      <c r="L225" s="8">
        <f>'50 изоляция'!L225*0.9</f>
        <v>10748.5785</v>
      </c>
      <c r="M225" s="8">
        <f>'50 изоляция'!M225*0.9</f>
        <v>11555.775</v>
      </c>
    </row>
    <row r="226" ht="19.5" customHeight="1" spans="1:14">
      <c r="A226" s="89" t="s">
        <v>26</v>
      </c>
      <c r="B226" s="8">
        <f>'50 изоляция'!B226*0.9</f>
        <v>4985.4915</v>
      </c>
      <c r="C226" s="8">
        <f>'50 изоляция'!C226*0.9</f>
        <v>5460.246</v>
      </c>
      <c r="D226" s="88">
        <f>'50 изоляция'!D226*0.9</f>
        <v>5882.6295</v>
      </c>
      <c r="E226" s="8">
        <f>'50 изоляция'!E226*0.9</f>
        <v>6335.7525</v>
      </c>
      <c r="F226" s="8">
        <f>'50 изоляция'!F226*0.9</f>
        <v>6593.0535</v>
      </c>
      <c r="G226" s="88">
        <f>'50 изоляция'!G226*0.9</f>
        <v>7091.7165</v>
      </c>
      <c r="H226" s="8">
        <f>'50 изоляция'!H226*0.9</f>
        <v>7409.358</v>
      </c>
      <c r="I226" s="8">
        <f>'50 изоляция'!I226*0.9</f>
        <v>8100.4275</v>
      </c>
      <c r="J226" s="88">
        <f>'50 изоляция'!J226*0.9</f>
        <v>8986.1805</v>
      </c>
      <c r="K226" s="8">
        <f>'50 изоляция'!K226*0.9</f>
        <v>11128.8375</v>
      </c>
      <c r="L226" s="8">
        <f>'50 изоляция'!L226*0.9</f>
        <v>12414.204</v>
      </c>
      <c r="M226" s="8">
        <f>'50 изоляция'!M226*0.9</f>
        <v>13271.4945</v>
      </c>
    </row>
    <row r="227" ht="19.5" customHeight="1" spans="1:14">
      <c r="A227" s="89" t="s">
        <v>27</v>
      </c>
      <c r="B227" s="8">
        <f>'50 изоляция'!B227*0.9</f>
        <v>6578.253</v>
      </c>
      <c r="C227" s="8">
        <f>'50 изоляция'!C227*0.9</f>
        <v>6909.5565</v>
      </c>
      <c r="D227" s="88">
        <f>'50 изоляция'!D227*0.9</f>
        <v>7172.55</v>
      </c>
      <c r="E227" s="8">
        <f>'50 изоляция'!E227*0.9</f>
        <v>7589.241</v>
      </c>
      <c r="F227" s="8">
        <f>'50 изоляция'!F227*0.9</f>
        <v>8021.871</v>
      </c>
      <c r="G227" s="88">
        <f>'50 изоляция'!G227*0.9</f>
        <v>8684.478</v>
      </c>
      <c r="H227" s="8">
        <f>'50 изоляция'!H227*0.9</f>
        <v>9242.343</v>
      </c>
      <c r="I227" s="8">
        <f>'50 изоляция'!I227*0.9</f>
        <v>10477.6155</v>
      </c>
      <c r="J227" s="88">
        <f>'50 изоляция'!J227*0.9</f>
        <v>12368.664</v>
      </c>
      <c r="K227" s="8">
        <f>'50 изоляция'!K227*0.9</f>
        <v>14975.829</v>
      </c>
      <c r="L227" s="8">
        <f>'50 изоляция'!L227*0.9</f>
        <v>16540.128</v>
      </c>
      <c r="M227" s="8">
        <f>'50 изоляция'!M227*0.9</f>
        <v>17478.252</v>
      </c>
    </row>
    <row r="228" ht="19.5" customHeight="1" spans="1:14">
      <c r="A228" s="89" t="s">
        <v>70</v>
      </c>
      <c r="B228" s="8">
        <f>'50 изоляция'!B228*0.9</f>
        <v>11745.9045</v>
      </c>
      <c r="C228" s="8">
        <f>'50 изоляция'!C228*0.9</f>
        <v>12145.518</v>
      </c>
      <c r="D228" s="88">
        <f>'50 изоляция'!D228*0.9</f>
        <v>12479.0985</v>
      </c>
      <c r="E228" s="8">
        <f>'50 изоляция'!E228*0.9</f>
        <v>12855.942</v>
      </c>
      <c r="F228" s="8">
        <f>'50 изоляция'!F228*0.9</f>
        <v>13278.3255</v>
      </c>
      <c r="G228" s="88">
        <f>'50 изоляция'!G228*0.9</f>
        <v>14214.1725</v>
      </c>
      <c r="H228" s="8">
        <f>'50 изоляция'!H228*0.9</f>
        <v>14724.2205</v>
      </c>
      <c r="I228" s="8">
        <f>'50 изоляция'!I228*0.9</f>
        <v>15827.427</v>
      </c>
      <c r="J228" s="88">
        <f>'50 изоляция'!J228*0.9</f>
        <v>17693.4285</v>
      </c>
      <c r="K228" s="8">
        <f>'50 изоляция'!K228*0.9</f>
        <v>20937.015</v>
      </c>
      <c r="L228" s="8">
        <f>'50 изоляция'!L228*0.9</f>
        <v>22882.7115</v>
      </c>
      <c r="M228" s="8">
        <f>'50 изоляция'!M228*0.9</f>
        <v>24050.8125</v>
      </c>
    </row>
    <row r="229" ht="19.5" customHeight="1" spans="1:14">
      <c r="A229" s="89" t="s">
        <v>32</v>
      </c>
      <c r="B229" s="8">
        <f>'50 изоляция'!B229*0.9</f>
        <v>1362.7845</v>
      </c>
      <c r="C229" s="8">
        <f>'50 изоляция'!C229*0.9</f>
        <v>1388.97</v>
      </c>
      <c r="D229" s="88">
        <f>'50 изоляция'!D229*0.9</f>
        <v>1480.05</v>
      </c>
      <c r="E229" s="8">
        <f>'50 изоляция'!E229*0.9</f>
        <v>1628.055</v>
      </c>
      <c r="F229" s="8">
        <f>'50 изоляция'!F229*0.9</f>
        <v>1740.7665</v>
      </c>
      <c r="G229" s="88">
        <f>'50 изоляция'!G229*0.9</f>
        <v>1839.816</v>
      </c>
      <c r="H229" s="8">
        <f>'50 изоляция'!H229*0.9</f>
        <v>1987.821</v>
      </c>
      <c r="I229" s="8">
        <f>'50 изоляция'!I229*0.9</f>
        <v>2049.3</v>
      </c>
      <c r="J229" s="88">
        <f>'50 изоляция'!J229*0.9</f>
        <v>2277</v>
      </c>
      <c r="K229" s="8">
        <f>'50 изоляция'!K229*0.9</f>
        <v>2588.949</v>
      </c>
      <c r="L229" s="8">
        <f>'50 изоляция'!L229*0.9</f>
        <v>2775.663</v>
      </c>
      <c r="M229" s="8">
        <f>'50 изоляция'!M229*0.9</f>
        <v>2888.3745</v>
      </c>
    </row>
    <row r="230" ht="19.5" customHeight="1" spans="1:14">
      <c r="A230" s="89" t="s">
        <v>81</v>
      </c>
      <c r="B230" s="8">
        <f>'50 изоляция'!B230*0.9</f>
        <v>3812.8365</v>
      </c>
      <c r="C230" s="8">
        <f>'50 изоляция'!C230*0.9</f>
        <v>3974.5035</v>
      </c>
      <c r="D230" s="88">
        <f>'50 изоляция'!D230*0.9</f>
        <v>4029.1515</v>
      </c>
      <c r="E230" s="8">
        <f>'50 изоляция'!E230*0.9</f>
        <v>4207.896</v>
      </c>
      <c r="F230" s="8">
        <f>'50 изоляция'!F230*0.9</f>
        <v>4399.164</v>
      </c>
      <c r="G230" s="88">
        <f>'50 изоляция'!G230*0.9</f>
        <v>4860.2565</v>
      </c>
      <c r="H230" s="8">
        <f>'50 изоляция'!H230*0.9</f>
        <v>5188.1445</v>
      </c>
      <c r="I230" s="8">
        <f>'50 изоляция'!I230*0.9</f>
        <v>5702.7465</v>
      </c>
      <c r="J230" s="88">
        <f>'50 изоляция'!J230*0.9</f>
        <v>6381.2925</v>
      </c>
      <c r="K230" s="8">
        <f>'50 изоляция'!K230*0.9</f>
        <v>7845.4035</v>
      </c>
      <c r="L230" s="8">
        <f>'50 изоляция'!L230*0.9</f>
        <v>8724.3255</v>
      </c>
      <c r="M230" s="8">
        <f>'50 изоляция'!M230*0.9</f>
        <v>9251.451</v>
      </c>
    </row>
    <row r="231" ht="19.5" customHeight="1" spans="1:14">
      <c r="A231" s="89" t="s">
        <v>96</v>
      </c>
      <c r="B231" s="8">
        <f>'50 изоляция'!B231*0.9</f>
        <v>4951.3365</v>
      </c>
      <c r="C231" s="8">
        <f>'50 изоляция'!C231*0.9</f>
        <v>5113.0035</v>
      </c>
      <c r="D231" s="88">
        <f>'50 изоляция'!D231*0.9</f>
        <v>5167.6515</v>
      </c>
      <c r="E231" s="8">
        <f>'50 изоляция'!E231*0.9</f>
        <v>5346.396</v>
      </c>
      <c r="F231" s="8">
        <f>'50 изоляция'!F231*0.9</f>
        <v>5537.664</v>
      </c>
      <c r="G231" s="88">
        <f>'50 изоляция'!G231*0.9</f>
        <v>5998.7565</v>
      </c>
      <c r="H231" s="8">
        <f>'50 изоляция'!H231*0.9</f>
        <v>6326.6445</v>
      </c>
      <c r="I231" s="8">
        <f>'50 изоляция'!I231*0.9</f>
        <v>6841.2465</v>
      </c>
      <c r="J231" s="88">
        <f>'50 изоляция'!J231*0.9</f>
        <v>7519.7925</v>
      </c>
      <c r="K231" s="8">
        <f>'50 изоляция'!K231*0.9</f>
        <v>8983.9035</v>
      </c>
      <c r="L231" s="8">
        <f>'50 изоляция'!L231*0.9</f>
        <v>9862.8255</v>
      </c>
      <c r="M231" s="8">
        <f>'50 изоляция'!M231*0.9</f>
        <v>10389.951</v>
      </c>
    </row>
    <row r="232" ht="19.5" customHeight="1" spans="1:14">
      <c r="A232" s="89" t="s">
        <v>39</v>
      </c>
      <c r="B232" s="8">
        <f>'50 изоляция'!B232*0.9</f>
        <v>3415.5</v>
      </c>
      <c r="C232" s="8">
        <f>'50 изоляция'!C232*0.9</f>
        <v>3860.6535</v>
      </c>
      <c r="D232" s="88">
        <f>'50 изоляция'!D232*0.9</f>
        <v>3915.3015</v>
      </c>
      <c r="E232" s="8">
        <f>'50 изоляция'!E232*0.9</f>
        <v>4094.046</v>
      </c>
      <c r="F232" s="8">
        <f>'50 изоляция'!F232*0.9</f>
        <v>4285.314</v>
      </c>
      <c r="G232" s="88">
        <f>'50 изоляция'!G232*0.9</f>
        <v>4632.5565</v>
      </c>
      <c r="H232" s="8">
        <f>'50 изоляция'!H232*0.9</f>
        <v>4846.5945</v>
      </c>
      <c r="I232" s="8">
        <f>'50 изоляция'!I232*0.9</f>
        <v>5247.3465</v>
      </c>
      <c r="J232" s="88">
        <f>'50 изоляция'!J232*0.9</f>
        <v>5808.627</v>
      </c>
      <c r="K232" s="8">
        <f>'50 изоляция'!K232*0.9</f>
        <v>7162.3035</v>
      </c>
      <c r="L232" s="8">
        <f>'50 изоляция'!L232*0.9</f>
        <v>7974.054</v>
      </c>
      <c r="M232" s="8">
        <f>'50 изоляция'!M232*0.9</f>
        <v>8461.332</v>
      </c>
    </row>
    <row r="233" ht="19.5" customHeight="1" spans="1:14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</row>
    <row r="234" ht="19.5" customHeight="1" spans="1:14">
      <c r="A234" s="120" t="s">
        <v>35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5"/>
    </row>
    <row r="235" ht="19.5" customHeight="1" spans="1:14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83" t="s">
        <v>99</v>
      </c>
    </row>
    <row r="236" ht="19.5" customHeight="1" spans="1:14">
      <c r="A236" s="35"/>
      <c r="B236" s="35"/>
      <c r="C236" s="35"/>
      <c r="D236" s="35"/>
      <c r="E236" s="35"/>
      <c r="F236" s="35"/>
      <c r="G236" s="35"/>
      <c r="H236" s="35"/>
      <c r="I236" s="35"/>
      <c r="J236" s="35"/>
    </row>
    <row r="237" ht="19.5" customHeight="1" spans="1:14">
      <c r="A237" s="92" t="s">
        <v>122</v>
      </c>
      <c r="J237" s="35"/>
    </row>
    <row r="238" ht="19.5" customHeight="1" spans="1:14">
      <c r="A238" s="92" t="s">
        <v>101</v>
      </c>
      <c r="J238" s="35"/>
      <c r="K238" s="35"/>
      <c r="L238" s="35"/>
      <c r="M238" s="35"/>
    </row>
    <row r="239" ht="19.5" customHeight="1" spans="1:14">
      <c r="A239" s="92" t="s">
        <v>102</v>
      </c>
      <c r="J239" s="35"/>
      <c r="K239" s="35"/>
      <c r="L239" s="35"/>
      <c r="M239" s="35"/>
    </row>
    <row r="240" ht="27" customHeight="1" spans="1:14">
      <c r="A240" s="17"/>
      <c r="B240" s="86" t="s">
        <v>103</v>
      </c>
      <c r="C240" s="86" t="s">
        <v>104</v>
      </c>
      <c r="D240" s="86" t="s">
        <v>105</v>
      </c>
      <c r="E240" s="86" t="s">
        <v>106</v>
      </c>
      <c r="F240" s="86" t="s">
        <v>107</v>
      </c>
      <c r="G240" s="86" t="s">
        <v>108</v>
      </c>
      <c r="H240" s="86" t="s">
        <v>109</v>
      </c>
      <c r="I240" s="86" t="s">
        <v>110</v>
      </c>
      <c r="J240" s="86" t="s">
        <v>111</v>
      </c>
      <c r="K240" s="86" t="s">
        <v>112</v>
      </c>
      <c r="L240" s="86" t="s">
        <v>113</v>
      </c>
      <c r="M240" s="86" t="s">
        <v>114</v>
      </c>
    </row>
    <row r="241" ht="19.5" customHeight="1" spans="1:13">
      <c r="A241" s="79" t="s">
        <v>68</v>
      </c>
      <c r="B241" s="8">
        <f>'50 изоляция'!B288*0.9</f>
        <v>2874.96</v>
      </c>
      <c r="C241" s="8">
        <f>'50 изоляция'!C288*0.9</f>
        <v>3070.98</v>
      </c>
      <c r="D241" s="88">
        <f>'50 изоляция'!D288*0.9</f>
        <v>3319.272</v>
      </c>
      <c r="E241" s="8">
        <f>'50 изоляция'!E288*0.9</f>
        <v>3452.13</v>
      </c>
      <c r="F241" s="8">
        <f>'50 изоляция'!F288*0.9</f>
        <v>3789.72</v>
      </c>
      <c r="G241" s="88">
        <f>'50 изоляция'!G288*0.9</f>
        <v>4056.525</v>
      </c>
      <c r="H241" s="8">
        <f>'50 изоляция'!H288*0.9</f>
        <v>4312.44</v>
      </c>
      <c r="I241" s="8">
        <f>'50 изоляция'!I288*0.9</f>
        <v>4640.229</v>
      </c>
      <c r="J241" s="88">
        <f>'50 изоляция'!J288*0.9</f>
        <v>5245.713</v>
      </c>
      <c r="K241" s="8">
        <f>'50 изоляция'!K288*0.9</f>
        <v>6157.206</v>
      </c>
      <c r="L241" s="8">
        <f>'50 изоляция'!L288*0.9</f>
        <v>6704.973</v>
      </c>
      <c r="M241" s="8">
        <f>'50 изоляция'!M288*0.9</f>
        <v>7069.788</v>
      </c>
    </row>
    <row r="242" ht="19.5" customHeight="1" spans="1:13">
      <c r="A242" s="79" t="s">
        <v>18</v>
      </c>
      <c r="B242" s="8">
        <f>'50 изоляция'!B289*0.9</f>
        <v>2452.428</v>
      </c>
      <c r="C242" s="8">
        <f>'50 изоляция'!C289*0.9</f>
        <v>2613.6</v>
      </c>
      <c r="D242" s="88">
        <f>'50 изоляция'!D289*0.9</f>
        <v>2804.175</v>
      </c>
      <c r="E242" s="8">
        <f>'50 изоляция'!E289*0.9</f>
        <v>3033.954</v>
      </c>
      <c r="F242" s="8">
        <f>'50 изоляция'!F289*0.9</f>
        <v>3241.953</v>
      </c>
      <c r="G242" s="88">
        <f>'50 изоляция'!G289*0.9</f>
        <v>3406.392</v>
      </c>
      <c r="H242" s="8">
        <f>'50 изоляция'!H289*0.9</f>
        <v>3497.868</v>
      </c>
      <c r="I242" s="8">
        <f>'50 изоляция'!I289*0.9</f>
        <v>3736.359</v>
      </c>
      <c r="J242" s="88">
        <f>'50 изоляция'!J289*0.9</f>
        <v>4197.006</v>
      </c>
      <c r="K242" s="8">
        <f>'50 изоляция'!K289*0.9</f>
        <v>4888.521</v>
      </c>
      <c r="L242" s="8">
        <f>'50 изоляция'!L289*0.9</f>
        <v>5303.43</v>
      </c>
      <c r="M242" s="8">
        <f>'50 изоляция'!M289*0.9</f>
        <v>5580.036</v>
      </c>
    </row>
    <row r="243" ht="19.5" customHeight="1" spans="1:13">
      <c r="A243" s="79" t="s">
        <v>19</v>
      </c>
      <c r="B243" s="8">
        <f>'50 изоляция'!B290*0.9</f>
        <v>2011.383</v>
      </c>
      <c r="C243" s="8">
        <f>'50 изоляция'!C290*0.9</f>
        <v>2147.508</v>
      </c>
      <c r="D243" s="88">
        <f>'50 изоляция'!D290*0.9</f>
        <v>2287.989</v>
      </c>
      <c r="E243" s="8">
        <f>'50 изоляция'!E290*0.9</f>
        <v>2485.098</v>
      </c>
      <c r="F243" s="8">
        <f>'50 изоляция'!F290*0.9</f>
        <v>2624.49</v>
      </c>
      <c r="G243" s="88">
        <f>'50 изоляция'!G290*0.9</f>
        <v>2873.871</v>
      </c>
      <c r="H243" s="8">
        <f>'50 изоляция'!H290*0.9</f>
        <v>2934.855</v>
      </c>
      <c r="I243" s="8">
        <f>'50 изоляция'!I290*0.9</f>
        <v>3092.76</v>
      </c>
      <c r="J243" s="88">
        <f>'50 изоляция'!J290*0.9</f>
        <v>3410.748</v>
      </c>
      <c r="K243" s="8">
        <f>'50 изоляция'!K290*0.9</f>
        <v>3880.107</v>
      </c>
      <c r="L243" s="8">
        <f>'50 изоляция'!L290*0.9</f>
        <v>4161.069</v>
      </c>
      <c r="M243" s="8">
        <f>'50 изоляция'!M290*0.9</f>
        <v>4349.466</v>
      </c>
    </row>
    <row r="244" ht="19.5" customHeight="1" spans="1:13">
      <c r="A244" s="79" t="s">
        <v>20</v>
      </c>
      <c r="B244" s="8">
        <f>'50 изоляция'!B291*0.9</f>
        <v>1667.259</v>
      </c>
      <c r="C244" s="8">
        <f>'50 изоляция'!C291*0.9</f>
        <v>1840.41</v>
      </c>
      <c r="D244" s="88">
        <f>'50 изоляция'!D291*0.9</f>
        <v>1940.598</v>
      </c>
      <c r="E244" s="8">
        <f>'50 изоляция'!E291*0.9</f>
        <v>2005.938</v>
      </c>
      <c r="F244" s="8">
        <f>'50 изоляция'!F291*0.9</f>
        <v>2191.068</v>
      </c>
      <c r="G244" s="88">
        <f>'50 изоляция'!G291*0.9</f>
        <v>2297.79</v>
      </c>
      <c r="H244" s="8">
        <f>'50 изоляция'!H291*0.9</f>
        <v>2344.617</v>
      </c>
      <c r="I244" s="8">
        <f>'50 изоляция'!I291*0.9</f>
        <v>2517.768</v>
      </c>
      <c r="J244" s="88">
        <f>'50 изоляция'!J291*0.9</f>
        <v>2751.903</v>
      </c>
      <c r="K244" s="8">
        <f>'50 изоляция'!K291*0.9</f>
        <v>3370.455</v>
      </c>
      <c r="L244" s="8">
        <f>'50 изоляция'!L291*0.9</f>
        <v>3663.396</v>
      </c>
      <c r="M244" s="8">
        <f>'50 изоляция'!M291*0.9</f>
        <v>3837.636</v>
      </c>
    </row>
    <row r="245" ht="19.5" customHeight="1" spans="1:13">
      <c r="A245" s="79" t="s">
        <v>21</v>
      </c>
      <c r="B245" s="8">
        <f>'50 изоляция'!B292*0.9</f>
        <v>1340.559</v>
      </c>
      <c r="C245" s="8">
        <f>'50 изоляция'!C292*0.9</f>
        <v>1490.841</v>
      </c>
      <c r="D245" s="88">
        <f>'50 изоляция'!D292*0.9</f>
        <v>1559.448</v>
      </c>
      <c r="E245" s="8">
        <f>'50 изоляция'!E292*0.9</f>
        <v>1605.186</v>
      </c>
      <c r="F245" s="8">
        <f>'50 изоляция'!F292*0.9</f>
        <v>1735.866</v>
      </c>
      <c r="G245" s="88">
        <f>'50 изоляция'!G292*0.9</f>
        <v>1949.31</v>
      </c>
      <c r="H245" s="8">
        <f>'50 изоляция'!H292*0.9</f>
        <v>1980.891</v>
      </c>
      <c r="I245" s="8">
        <f>'50 изоляция'!I292*0.9</f>
        <v>2099.592</v>
      </c>
      <c r="J245" s="88">
        <f>'50 изоляция'!J292*0.9</f>
        <v>2360.952</v>
      </c>
      <c r="K245" s="8">
        <f>'50 изоляция'!K292*0.9</f>
        <v>2717.055</v>
      </c>
      <c r="L245" s="8">
        <f>'50 изоляция'!L292*0.9</f>
        <v>2929.41</v>
      </c>
      <c r="M245" s="8">
        <f>'50 изоляция'!M292*0.9</f>
        <v>3057.912</v>
      </c>
    </row>
    <row r="246" ht="19.5" customHeight="1" spans="1:13">
      <c r="A246" s="79" t="s">
        <v>22</v>
      </c>
      <c r="B246" s="8">
        <f>'50 изоляция'!B293*0.9</f>
        <v>1123.848</v>
      </c>
      <c r="C246" s="8">
        <f>'50 изоляция'!C293*0.9</f>
        <v>1266.507</v>
      </c>
      <c r="D246" s="88">
        <f>'50 изоляция'!D293*0.9</f>
        <v>1306.8</v>
      </c>
      <c r="E246" s="8">
        <f>'50 изоляция'!E293*0.9</f>
        <v>1335.114</v>
      </c>
      <c r="F246" s="8">
        <f>'50 изоляция'!F293*0.9</f>
        <v>1413.522</v>
      </c>
      <c r="G246" s="88">
        <f>'50 изоляция'!G293*0.9</f>
        <v>1474.506</v>
      </c>
      <c r="H246" s="8">
        <f>'50 изоляция'!H293*0.9</f>
        <v>1494.108</v>
      </c>
      <c r="I246" s="8">
        <f>'50 изоляция'!I293*0.9</f>
        <v>1565.982</v>
      </c>
      <c r="J246" s="88">
        <f>'50 изоляция'!J293*0.9</f>
        <v>1732.599</v>
      </c>
      <c r="K246" s="8">
        <f>'50 изоляция'!K293*0.9</f>
        <v>1949.31</v>
      </c>
      <c r="L246" s="8">
        <f>'50 изоляция'!L293*0.9</f>
        <v>2079.99</v>
      </c>
      <c r="M246" s="8">
        <f>'50 изоляция'!M293*0.9</f>
        <v>2157.309</v>
      </c>
    </row>
    <row r="247" ht="19.5" customHeight="1" spans="1:13">
      <c r="A247" s="79" t="s">
        <v>23</v>
      </c>
      <c r="B247" s="8">
        <f>'50 изоляция'!B294*0.9</f>
        <v>3306.204</v>
      </c>
      <c r="C247" s="8">
        <f>'50 изоляция'!C294*0.9</f>
        <v>3497.868</v>
      </c>
      <c r="D247" s="88">
        <f>'50 изоляция'!D294*0.9</f>
        <v>3691.71</v>
      </c>
      <c r="E247" s="8">
        <f>'50 изоляция'!E294*0.9</f>
        <v>3898.62</v>
      </c>
      <c r="F247" s="8">
        <f>'50 изоляция'!F294*0.9</f>
        <v>3963.96</v>
      </c>
      <c r="G247" s="88">
        <f>'50 изоляция'!G294*0.9</f>
        <v>4159.98</v>
      </c>
      <c r="H247" s="8">
        <f>'50 изоляция'!H294*0.9</f>
        <v>4508.46</v>
      </c>
      <c r="I247" s="8">
        <f>'50 изоляция'!I294*0.9</f>
        <v>5031.18</v>
      </c>
      <c r="J247" s="88">
        <f>'50 изоляция'!J294*0.9</f>
        <v>5926.338</v>
      </c>
      <c r="K247" s="8">
        <f>'50 изоляция'!K294*0.9</f>
        <v>7261.452</v>
      </c>
      <c r="L247" s="8">
        <f>'50 изоляция'!L294*0.9</f>
        <v>8062.956</v>
      </c>
      <c r="M247" s="8">
        <f>'50 изоляция'!M294*0.9</f>
        <v>8597.655</v>
      </c>
    </row>
    <row r="248" ht="19.5" customHeight="1" spans="1:13">
      <c r="A248" s="79" t="s">
        <v>24</v>
      </c>
      <c r="B248" s="8">
        <f>'50 изоляция'!B295*0.9</f>
        <v>3044.844</v>
      </c>
      <c r="C248" s="8">
        <f>'50 изоляция'!C295*0.9</f>
        <v>3236.508</v>
      </c>
      <c r="D248" s="88">
        <f>'50 изоляция'!D295*0.9</f>
        <v>3430.35</v>
      </c>
      <c r="E248" s="8">
        <f>'50 изоляция'!E295*0.9</f>
        <v>3637.26</v>
      </c>
      <c r="F248" s="8">
        <f>'50 изоляция'!F295*0.9</f>
        <v>3702.6</v>
      </c>
      <c r="G248" s="88">
        <f>'50 изоляция'!G295*0.9</f>
        <v>3898.62</v>
      </c>
      <c r="H248" s="8">
        <f>'50 изоляция'!H295*0.9</f>
        <v>4247.1</v>
      </c>
      <c r="I248" s="8">
        <f>'50 изоляция'!I295*0.9</f>
        <v>4769.82</v>
      </c>
      <c r="J248" s="88">
        <f>'50 изоляция'!J295*0.9</f>
        <v>5664.978</v>
      </c>
      <c r="K248" s="8">
        <f>'50 изоляция'!K295*0.9</f>
        <v>7000.092</v>
      </c>
      <c r="L248" s="8">
        <f>'50 изоляция'!L295*0.9</f>
        <v>7801.596</v>
      </c>
      <c r="M248" s="8">
        <f>'50 изоляция'!M295*0.9</f>
        <v>8336.295</v>
      </c>
    </row>
    <row r="249" ht="19.5" customHeight="1" spans="1:13">
      <c r="A249" s="79" t="s">
        <v>26</v>
      </c>
      <c r="B249" s="8">
        <f>'50 изоляция'!B296*0.9</f>
        <v>4718.637</v>
      </c>
      <c r="C249" s="8">
        <f>'50 изоляция'!C296*0.9</f>
        <v>4904.856</v>
      </c>
      <c r="D249" s="88">
        <f>'50 изоляция'!D296*0.9</f>
        <v>5183.64</v>
      </c>
      <c r="E249" s="8">
        <f>'50 изоляция'!E296*0.9</f>
        <v>5702.004</v>
      </c>
      <c r="F249" s="8">
        <f>'50 изоляция'!F296*0.9</f>
        <v>5941.584</v>
      </c>
      <c r="G249" s="88">
        <f>'50 изоляция'!G296*0.9</f>
        <v>6352.137</v>
      </c>
      <c r="H249" s="8">
        <f>'50 изоляция'!H296*0.9</f>
        <v>6722.397</v>
      </c>
      <c r="I249" s="8">
        <f>'50 изоляция'!I296*0.9</f>
        <v>7502.121</v>
      </c>
      <c r="J249" s="88">
        <f>'50 изоляция'!J296*0.9</f>
        <v>8017.218</v>
      </c>
      <c r="K249" s="8">
        <f>'50 изоляция'!K296*0.9</f>
        <v>9899.01</v>
      </c>
      <c r="L249" s="8">
        <f>'50 изоляция'!L296*0.9</f>
        <v>11028.303</v>
      </c>
      <c r="M249" s="8">
        <f>'50 изоляция'!M296*0.9</f>
        <v>11780.802</v>
      </c>
    </row>
    <row r="250" ht="19.5" customHeight="1" spans="1:13">
      <c r="A250" s="79" t="s">
        <v>27</v>
      </c>
      <c r="B250" s="8">
        <f>'50 изоляция'!B297*0.9</f>
        <v>6114.735</v>
      </c>
      <c r="C250" s="8">
        <f>'50 изоляция'!C297*0.9</f>
        <v>6283.53</v>
      </c>
      <c r="D250" s="88">
        <f>'50 изоляция'!D297*0.9</f>
        <v>6552.513</v>
      </c>
      <c r="E250" s="8">
        <f>'50 изоляция'!E297*0.9</f>
        <v>7148.196</v>
      </c>
      <c r="F250" s="8">
        <f>'50 изоляция'!F297*0.9</f>
        <v>7374.708</v>
      </c>
      <c r="G250" s="88">
        <f>'50 изоляция'!G297*0.9</f>
        <v>8181.657</v>
      </c>
      <c r="H250" s="8">
        <f>'50 изоляция'!H297*0.9</f>
        <v>8853.57</v>
      </c>
      <c r="I250" s="8">
        <f>'50 изоляция'!I297*0.9</f>
        <v>9631.116</v>
      </c>
      <c r="J250" s="88">
        <f>'50 изоляция'!J297*0.9</f>
        <v>11243.925</v>
      </c>
      <c r="K250" s="8">
        <f>'50 изоляция'!K297*0.9</f>
        <v>13171.455</v>
      </c>
      <c r="L250" s="8">
        <f>'50 изоляция'!L297*0.9</f>
        <v>14327.973</v>
      </c>
      <c r="M250" s="8">
        <f>'50 изоляция'!M297*0.9</f>
        <v>15021.666</v>
      </c>
    </row>
    <row r="251" ht="19.5" customHeight="1" spans="1:13">
      <c r="A251" s="79" t="s">
        <v>70</v>
      </c>
      <c r="B251" s="8">
        <f>'50 изоляция'!B298*0.9</f>
        <v>11355.003</v>
      </c>
      <c r="C251" s="8">
        <f>'50 изоляция'!C298*0.9</f>
        <v>11708.928</v>
      </c>
      <c r="D251" s="88">
        <f>'50 изоляция'!D298*0.9</f>
        <v>12007.314</v>
      </c>
      <c r="E251" s="8">
        <f>'50 изоляция'!E298*0.9</f>
        <v>12340.548</v>
      </c>
      <c r="F251" s="8">
        <f>'50 изоляция'!F298*0.9</f>
        <v>12715.164</v>
      </c>
      <c r="G251" s="88">
        <f>'50 изоляция'!G298*0.9</f>
        <v>13568.94</v>
      </c>
      <c r="H251" s="8">
        <f>'50 изоляция'!H298*0.9</f>
        <v>14020.875</v>
      </c>
      <c r="I251" s="8">
        <f>'50 изоляция'!I298*0.9</f>
        <v>14995.53</v>
      </c>
      <c r="J251" s="88">
        <f>'50 изоляция'!J298*0.9</f>
        <v>16817.427</v>
      </c>
      <c r="K251" s="8">
        <f>'50 изоляция'!K298*0.9</f>
        <v>19830.69</v>
      </c>
      <c r="L251" s="8">
        <f>'50 изоляция'!L298*0.9</f>
        <v>21639.519</v>
      </c>
      <c r="M251" s="8">
        <f>'50 изоляция'!M298*0.9</f>
        <v>13329.36</v>
      </c>
    </row>
    <row r="252" ht="19.5" customHeight="1" spans="1:13">
      <c r="A252" s="79" t="s">
        <v>32</v>
      </c>
      <c r="B252" s="8">
        <f>'50 изоляция'!B299*0.9</f>
        <v>1289.376</v>
      </c>
      <c r="C252" s="8">
        <f>'50 изоляция'!C299*0.9</f>
        <v>1317.69</v>
      </c>
      <c r="D252" s="88">
        <f>'50 изоляция'!D299*0.9</f>
        <v>1411.344</v>
      </c>
      <c r="E252" s="8">
        <f>'50 изоляция'!E299*0.9</f>
        <v>1563.804</v>
      </c>
      <c r="F252" s="8">
        <f>'50 изоляция'!F299*0.9</f>
        <v>1680.327</v>
      </c>
      <c r="G252" s="88">
        <f>'50 изоляция'!G299*0.9</f>
        <v>1782.693</v>
      </c>
      <c r="H252" s="8">
        <f>'50 изоляция'!H299*0.9</f>
        <v>1935.153</v>
      </c>
      <c r="I252" s="8">
        <f>'50 изоляция'!I299*0.9</f>
        <v>1999.404</v>
      </c>
      <c r="J252" s="88">
        <f>'50 изоляция'!J299*0.9</f>
        <v>2234.628</v>
      </c>
      <c r="K252" s="8">
        <f>'50 изоляция'!K299*0.9</f>
        <v>2556.972</v>
      </c>
      <c r="L252" s="8">
        <f>'50 изоляция'!L299*0.9</f>
        <v>2750.814</v>
      </c>
      <c r="M252" s="8">
        <f>'50 изоляция'!M299*0.9</f>
        <v>2866.248</v>
      </c>
    </row>
    <row r="253" ht="19.5" customHeight="1" spans="1:13">
      <c r="A253" s="79" t="s">
        <v>72</v>
      </c>
      <c r="B253" s="8">
        <f>'50 изоляция'!B300*0.9</f>
        <v>3844.17</v>
      </c>
      <c r="C253" s="8">
        <f>'50 изоляция'!C300*0.9</f>
        <v>3960.693</v>
      </c>
      <c r="D253" s="88">
        <f>'50 изоляция'!D300*0.9</f>
        <v>4009.698</v>
      </c>
      <c r="E253" s="8">
        <f>'50 изоляция'!E300*0.9</f>
        <v>4163.247</v>
      </c>
      <c r="F253" s="8">
        <f>'50 изоляция'!F300*0.9</f>
        <v>4300.461</v>
      </c>
      <c r="G253" s="88">
        <f>'50 изоляция'!G300*0.9</f>
        <v>4630.428</v>
      </c>
      <c r="H253" s="8">
        <f>'50 изоляция'!H300*0.9</f>
        <v>4782.888</v>
      </c>
      <c r="I253" s="8">
        <f>'50 изоляция'!I300*0.9</f>
        <v>5117.211</v>
      </c>
      <c r="J253" s="88">
        <f>'50 изоляция'!J300*0.9</f>
        <v>5744.475</v>
      </c>
      <c r="K253" s="8">
        <f>'50 изоляция'!K300*0.9</f>
        <v>6930.396</v>
      </c>
      <c r="L253" s="8">
        <f>'50 изоляция'!L300*0.9</f>
        <v>7640.424</v>
      </c>
      <c r="M253" s="8">
        <f>'50 изоляция'!M300*0.9</f>
        <v>8068.401</v>
      </c>
    </row>
    <row r="254" ht="19.5" customHeight="1" spans="1:13">
      <c r="A254" s="79" t="s">
        <v>73</v>
      </c>
      <c r="B254" s="8">
        <f>'50 изоляция'!B301*0.9</f>
        <v>1450.548</v>
      </c>
      <c r="C254" s="8">
        <f>'50 изоляция'!C301*0.9</f>
        <v>1497.375</v>
      </c>
      <c r="D254" s="88">
        <f>'50 изоляция'!D301*0.9</f>
        <v>1586.673</v>
      </c>
      <c r="E254" s="8">
        <f>'50 изоляция'!E301*0.9</f>
        <v>1756.557</v>
      </c>
      <c r="F254" s="8">
        <f>'50 изоляция'!F301*0.9</f>
        <v>1827.342</v>
      </c>
      <c r="G254" s="88">
        <f>'50 изоляция'!G301*0.9</f>
        <v>2034.252</v>
      </c>
      <c r="H254" s="8">
        <f>'50 изоляция'!H301*0.9</f>
        <v>2221.56</v>
      </c>
      <c r="I254" s="8">
        <f>'50 изоляция'!I301*0.9</f>
        <v>2542.815</v>
      </c>
      <c r="J254" s="88">
        <f>'50 изоляция'!J301*0.9</f>
        <v>2751.903</v>
      </c>
      <c r="K254" s="8">
        <f>'50 изоляция'!K301*0.9</f>
        <v>3258.288</v>
      </c>
      <c r="L254" s="8">
        <f>'50 изоляция'!L301*0.9</f>
        <v>3561.03</v>
      </c>
      <c r="M254" s="8">
        <f>'50 изоляция'!M301*0.9</f>
        <v>3743.982</v>
      </c>
    </row>
    <row r="255" ht="19.5" customHeight="1" spans="1:13">
      <c r="A255" s="79" t="s">
        <v>74</v>
      </c>
      <c r="B255" s="8">
        <f>'50 изоляция'!B302*0.9</f>
        <v>1910.106</v>
      </c>
      <c r="C255" s="8">
        <f>'50 изоляция'!C302*0.9</f>
        <v>1977.624</v>
      </c>
      <c r="D255" s="88">
        <f>'50 изоляция'!D302*0.9</f>
        <v>2208.492</v>
      </c>
      <c r="E255" s="8">
        <f>'50 изоляция'!E302*0.9</f>
        <v>2262.942</v>
      </c>
      <c r="F255" s="8">
        <f>'50 изоляция'!F302*0.9</f>
        <v>2417.58</v>
      </c>
      <c r="G255" s="88">
        <f>'50 изоляция'!G302*0.9</f>
        <v>2787.84</v>
      </c>
      <c r="H255" s="8">
        <f>'50 изоляция'!H302*0.9</f>
        <v>2926.143</v>
      </c>
      <c r="I255" s="8">
        <f>'50 изоляция'!I302*0.9</f>
        <v>3213.639</v>
      </c>
      <c r="J255" s="88">
        <f>'50 изоляция'!J302*0.9</f>
        <v>3444.507</v>
      </c>
      <c r="K255" s="8">
        <f>'50 изоляция'!K302*0.9</f>
        <v>4193.739</v>
      </c>
      <c r="L255" s="8">
        <f>'50 изоляция'!L302*0.9</f>
        <v>4643.496</v>
      </c>
      <c r="M255" s="8">
        <f>'50 изоляция'!M302*0.9</f>
        <v>4912.479</v>
      </c>
    </row>
    <row r="256" ht="19.5" customHeight="1" spans="1:1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</row>
    <row r="257" ht="19.5" customHeight="1" spans="1:13">
      <c r="A257" s="120" t="s">
        <v>35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9.5" customHeight="1" spans="1:1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83" t="s">
        <v>99</v>
      </c>
    </row>
    <row r="259" ht="19.5" customHeight="1" spans="1:13">
      <c r="A259" s="35"/>
      <c r="B259" s="35"/>
      <c r="C259" s="35"/>
      <c r="D259" s="35"/>
      <c r="E259" s="35"/>
      <c r="F259" s="35"/>
      <c r="G259" s="35"/>
      <c r="H259" s="35"/>
      <c r="I259" s="35"/>
      <c r="J259" s="35"/>
    </row>
    <row r="260" ht="19.5" customHeight="1" spans="1:13">
      <c r="A260" s="92" t="s">
        <v>123</v>
      </c>
      <c r="B260" s="35"/>
      <c r="C260" s="35"/>
      <c r="D260" s="35"/>
      <c r="E260" s="35"/>
      <c r="F260" s="35"/>
      <c r="G260" s="35"/>
      <c r="H260" s="35"/>
      <c r="I260" s="35"/>
      <c r="J260" s="35"/>
    </row>
    <row r="261" ht="19.5" customHeight="1" spans="1:13">
      <c r="A261" s="92" t="s">
        <v>101</v>
      </c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</row>
    <row r="262" ht="19.5" customHeight="1" spans="1:13">
      <c r="A262" s="92" t="s">
        <v>102</v>
      </c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</row>
    <row r="263" ht="27" customHeight="1" spans="1:13">
      <c r="A263" s="17"/>
      <c r="B263" s="86" t="s">
        <v>103</v>
      </c>
      <c r="C263" s="86" t="s">
        <v>104</v>
      </c>
      <c r="D263" s="86" t="s">
        <v>105</v>
      </c>
      <c r="E263" s="86" t="s">
        <v>106</v>
      </c>
      <c r="F263" s="86" t="s">
        <v>107</v>
      </c>
      <c r="G263" s="86" t="s">
        <v>108</v>
      </c>
      <c r="H263" s="86" t="s">
        <v>109</v>
      </c>
      <c r="I263" s="86" t="s">
        <v>110</v>
      </c>
      <c r="J263" s="86" t="s">
        <v>111</v>
      </c>
      <c r="K263" s="86" t="s">
        <v>112</v>
      </c>
      <c r="L263" s="86" t="s">
        <v>113</v>
      </c>
      <c r="M263" s="86" t="s">
        <v>114</v>
      </c>
    </row>
    <row r="264" ht="19.5" customHeight="1" spans="1:13">
      <c r="A264" s="89" t="s">
        <v>68</v>
      </c>
      <c r="B264" s="8">
        <f>'50 изоляция'!B311*0.9</f>
        <v>3463.02</v>
      </c>
      <c r="C264" s="8">
        <f>'50 изоляция'!C311*0.9</f>
        <v>3632.904</v>
      </c>
      <c r="D264" s="88">
        <f>'50 изоляция'!D311*0.9</f>
        <v>3944.358</v>
      </c>
      <c r="E264" s="8">
        <f>'50 изоляция'!E311*0.9</f>
        <v>4405.005</v>
      </c>
      <c r="F264" s="8">
        <f>'50 изоляция'!F311*0.9</f>
        <v>4573.8</v>
      </c>
      <c r="G264" s="88">
        <f>'50 изоляция'!G311*0.9</f>
        <v>4497.57</v>
      </c>
      <c r="H264" s="8">
        <f>'50 изоляция'!H311*0.9</f>
        <v>5690.025</v>
      </c>
      <c r="I264" s="8">
        <f>'50 изоляция'!I311*0.9</f>
        <v>5974.254</v>
      </c>
      <c r="J264" s="88">
        <f>'50 изоляция'!J311*0.9</f>
        <v>6267.195</v>
      </c>
      <c r="K264" s="8">
        <f>'50 изоляция'!K311*0.9</f>
        <v>7971.48</v>
      </c>
      <c r="L264" s="8">
        <f>'50 изоляция'!L311*0.9</f>
        <v>8992.962</v>
      </c>
      <c r="M264" s="8">
        <f>'50 изоляция'!M311*0.9</f>
        <v>9675.765</v>
      </c>
    </row>
    <row r="265" ht="19.5" customHeight="1" spans="1:13">
      <c r="A265" s="89" t="s">
        <v>18</v>
      </c>
      <c r="B265" s="8">
        <f>'50 изоляция'!B312*0.9</f>
        <v>2874.96</v>
      </c>
      <c r="C265" s="8">
        <f>'50 изоляция'!C312*0.9</f>
        <v>3062.268</v>
      </c>
      <c r="D265" s="88">
        <f>'50 изоляция'!D312*0.9</f>
        <v>3356.298</v>
      </c>
      <c r="E265" s="8">
        <f>'50 изоляция'!E312*0.9</f>
        <v>3789.72</v>
      </c>
      <c r="F265" s="8">
        <f>'50 изоляция'!F312*0.9</f>
        <v>3920.4</v>
      </c>
      <c r="G265" s="88">
        <f>'50 изоляция'!G312*0.9</f>
        <v>4038.012</v>
      </c>
      <c r="H265" s="8">
        <f>'50 изоляция'!H312*0.9</f>
        <v>4840.605</v>
      </c>
      <c r="I265" s="8">
        <f>'50 изоляция'!I312*0.9</f>
        <v>5096.52</v>
      </c>
      <c r="J265" s="88">
        <f>'50 изоляция'!J312*0.9</f>
        <v>5287.095</v>
      </c>
      <c r="K265" s="8">
        <f>'50 изоляция'!K312*0.9</f>
        <v>6795.36</v>
      </c>
      <c r="L265" s="8">
        <f>'50 изоляция'!L312*0.9</f>
        <v>7699.23</v>
      </c>
      <c r="M265" s="8">
        <f>'50 изоляция'!M312*0.9</f>
        <v>8303.625</v>
      </c>
    </row>
    <row r="266" ht="19.5" customHeight="1" spans="1:13">
      <c r="A266" s="89" t="s">
        <v>19</v>
      </c>
      <c r="B266" s="8">
        <f>'50 изоляция'!B313*0.9</f>
        <v>2385.999</v>
      </c>
      <c r="C266" s="8">
        <f>'50 изоляция'!C313*0.9</f>
        <v>2482.92</v>
      </c>
      <c r="D266" s="88">
        <f>'50 изоляция'!D313*0.9</f>
        <v>2744.28</v>
      </c>
      <c r="E266" s="8">
        <f>'50 изоляция'!E313*0.9</f>
        <v>3053.556</v>
      </c>
      <c r="F266" s="8">
        <f>'50 изоляция'!F313*0.9</f>
        <v>3201.66</v>
      </c>
      <c r="G266" s="88">
        <f>'50 изоляция'!G313*0.9</f>
        <v>3267</v>
      </c>
      <c r="H266" s="8">
        <f>'50 изоляция'!H313*0.9</f>
        <v>3991.185</v>
      </c>
      <c r="I266" s="8">
        <f>'50 изоляция'!I313*0.9</f>
        <v>4205.718</v>
      </c>
      <c r="J266" s="88">
        <f>'50 изоляция'!J313*0.9</f>
        <v>4366.89</v>
      </c>
      <c r="K266" s="8">
        <f>'50 изоляция'!K313*0.9</f>
        <v>5708.538</v>
      </c>
      <c r="L266" s="8">
        <f>'50 изоляция'!L313*0.9</f>
        <v>6513.309</v>
      </c>
      <c r="M266" s="8">
        <f>'50 изоляция'!M313*0.9</f>
        <v>7049.097</v>
      </c>
    </row>
    <row r="267" ht="19.5" customHeight="1" spans="1:13">
      <c r="A267" s="89" t="s">
        <v>20</v>
      </c>
      <c r="B267" s="8">
        <f>'50 изоляция'!B314*0.9</f>
        <v>1923.174</v>
      </c>
      <c r="C267" s="8">
        <f>'50 изоляция'!C314*0.9</f>
        <v>1962.378</v>
      </c>
      <c r="D267" s="88">
        <f>'50 изоляция'!D314*0.9</f>
        <v>2171.466</v>
      </c>
      <c r="E267" s="8">
        <f>'50 изоляция'!E314*0.9</f>
        <v>2563.506</v>
      </c>
      <c r="F267" s="8">
        <f>'50 изоляция'!F314*0.9</f>
        <v>2657.16</v>
      </c>
      <c r="G267" s="88">
        <f>'50 изоляция'!G314*0.9</f>
        <v>2744.28</v>
      </c>
      <c r="H267" s="8">
        <f>'50 изоляция'!H314*0.9</f>
        <v>3123.252</v>
      </c>
      <c r="I267" s="8">
        <f>'50 изоляция'!I314*0.9</f>
        <v>3365.01</v>
      </c>
      <c r="J267" s="88">
        <f>'50 изоляция'!J314*0.9</f>
        <v>3852.882</v>
      </c>
      <c r="K267" s="8">
        <f>'50 изоляция'!K314*0.9</f>
        <v>4525.884</v>
      </c>
      <c r="L267" s="8">
        <f>'50 изоляция'!L314*0.9</f>
        <v>4928.814</v>
      </c>
      <c r="M267" s="8">
        <f>'50 изоляция'!M314*0.9</f>
        <v>5170.572</v>
      </c>
    </row>
    <row r="268" ht="19.5" customHeight="1" spans="1:13">
      <c r="A268" s="89" t="s">
        <v>21</v>
      </c>
      <c r="B268" s="8">
        <f>'50 изоляция'!B315*0.9</f>
        <v>1568.16</v>
      </c>
      <c r="C268" s="8">
        <f>'50 изоляция'!C315*0.9</f>
        <v>1701.018</v>
      </c>
      <c r="D268" s="88">
        <f>'50 изоляция'!D315*0.9</f>
        <v>1829.52</v>
      </c>
      <c r="E268" s="8">
        <f>'50 изоляция'!E315*0.9</f>
        <v>1990.692</v>
      </c>
      <c r="F268" s="8">
        <f>'50 изоляция'!F315*0.9</f>
        <v>2173.644</v>
      </c>
      <c r="G268" s="88">
        <f>'50 изоляция'!G315*0.9</f>
        <v>2390.355</v>
      </c>
      <c r="H268" s="8">
        <f>'50 изоляция'!H315*0.9</f>
        <v>2456.784</v>
      </c>
      <c r="I268" s="8">
        <f>'50 изоляция'!I315*0.9</f>
        <v>2628.846</v>
      </c>
      <c r="J268" s="88">
        <f>'50 изоляция'!J315*0.9</f>
        <v>2986.038</v>
      </c>
      <c r="K268" s="8">
        <f>'50 изоляция'!K315*0.9</f>
        <v>3474.999</v>
      </c>
      <c r="L268" s="8">
        <f>'50 изоляция'!L315*0.9</f>
        <v>3767.94</v>
      </c>
      <c r="M268" s="8">
        <f>'50 изоляция'!M315*0.9</f>
        <v>3944.358</v>
      </c>
    </row>
    <row r="269" ht="19.5" customHeight="1" spans="1:13">
      <c r="A269" s="89" t="s">
        <v>22</v>
      </c>
      <c r="B269" s="8">
        <f>'50 изоляция'!B316*0.9</f>
        <v>1353.627</v>
      </c>
      <c r="C269" s="8">
        <f>'50 изоляция'!C316*0.9</f>
        <v>1406.988</v>
      </c>
      <c r="D269" s="88">
        <f>'50 изоляция'!D316*0.9</f>
        <v>1563.804</v>
      </c>
      <c r="E269" s="8">
        <f>'50 изоляция'!E316*0.9</f>
        <v>1601.919</v>
      </c>
      <c r="F269" s="8">
        <f>'50 изоляция'!F316*0.9</f>
        <v>1711.908</v>
      </c>
      <c r="G269" s="88">
        <f>'50 изоляция'!G316*0.9</f>
        <v>1777.248</v>
      </c>
      <c r="H269" s="8">
        <f>'50 изоляция'!H316*0.9</f>
        <v>1812.096</v>
      </c>
      <c r="I269" s="8">
        <f>'50 изоляция'!I316*0.9</f>
        <v>1910.106</v>
      </c>
      <c r="J269" s="88">
        <f>'50 изоляция'!J316*0.9</f>
        <v>2128.995</v>
      </c>
      <c r="K269" s="8">
        <f>'50 изоляция'!K316*0.9</f>
        <v>2425.203</v>
      </c>
      <c r="L269" s="8">
        <f>'50 изоляция'!L316*0.9</f>
        <v>2602.71</v>
      </c>
      <c r="M269" s="8">
        <f>'50 изоляция'!M316*0.9</f>
        <v>2710.521</v>
      </c>
    </row>
    <row r="270" ht="19.5" customHeight="1" spans="1:13">
      <c r="A270" s="89" t="s">
        <v>23</v>
      </c>
      <c r="B270" s="8">
        <f>'50 изоляция'!B317*0.9</f>
        <v>3671.019</v>
      </c>
      <c r="C270" s="8">
        <f>'50 изоляция'!C317*0.9</f>
        <v>4014.054</v>
      </c>
      <c r="D270" s="88">
        <f>'50 изоляция'!D317*0.9</f>
        <v>4488.858</v>
      </c>
      <c r="E270" s="8">
        <f>'50 изоляция'!E317*0.9</f>
        <v>4853.673</v>
      </c>
      <c r="F270" s="8">
        <f>'50 изоляция'!F317*0.9</f>
        <v>5337.189</v>
      </c>
      <c r="G270" s="88">
        <f>'50 изоляция'!G317*0.9</f>
        <v>5973.165</v>
      </c>
      <c r="H270" s="8">
        <f>'50 изоляция'!H317*0.9</f>
        <v>6614.586</v>
      </c>
      <c r="I270" s="8">
        <f>'50 изоляция'!I317*0.9</f>
        <v>6847.632</v>
      </c>
      <c r="J270" s="88">
        <f>'50 изоляция'!J317*0.9</f>
        <v>7704.675</v>
      </c>
      <c r="K270" s="8">
        <f>'50 изоляция'!K317*0.9</f>
        <v>9971.973</v>
      </c>
      <c r="L270" s="8">
        <f>'50 изоляция'!L317*0.9</f>
        <v>11332.134</v>
      </c>
      <c r="M270" s="8">
        <f>'50 изоляция'!M317*0.9</f>
        <v>12239.271</v>
      </c>
    </row>
    <row r="271" ht="19.5" customHeight="1" spans="1:13">
      <c r="A271" s="89" t="s">
        <v>24</v>
      </c>
      <c r="B271" s="8">
        <f>'50 изоляция'!B318*0.9</f>
        <v>3409.659</v>
      </c>
      <c r="C271" s="8">
        <f>'50 изоляция'!C318*0.9</f>
        <v>3752.694</v>
      </c>
      <c r="D271" s="88">
        <f>'50 изоляция'!D318*0.9</f>
        <v>4227.498</v>
      </c>
      <c r="E271" s="8">
        <f>'50 изоляция'!E318*0.9</f>
        <v>4592.313</v>
      </c>
      <c r="F271" s="8">
        <f>'50 изоляция'!F318*0.9</f>
        <v>5075.829</v>
      </c>
      <c r="G271" s="88">
        <f>'50 изоляция'!G318*0.9</f>
        <v>5711.805</v>
      </c>
      <c r="H271" s="8">
        <f>'50 изоляция'!H318*0.9</f>
        <v>6353.226</v>
      </c>
      <c r="I271" s="8">
        <f>'50 изоляция'!I318*0.9</f>
        <v>6586.272</v>
      </c>
      <c r="J271" s="88">
        <f>'50 изоляция'!J318*0.9</f>
        <v>7443.315</v>
      </c>
      <c r="K271" s="8">
        <f>'50 изоляция'!K318*0.9</f>
        <v>9710.613</v>
      </c>
      <c r="L271" s="8">
        <f>'50 изоляция'!L318*0.9</f>
        <v>11070.774</v>
      </c>
      <c r="M271" s="8">
        <f>'50 изоляция'!M318*0.9</f>
        <v>11977.911</v>
      </c>
    </row>
    <row r="272" ht="19.5" customHeight="1" spans="1:13">
      <c r="A272" s="89" t="s">
        <v>26</v>
      </c>
      <c r="B272" s="8">
        <f>'50 изоляция'!B319*0.9</f>
        <v>5294.718</v>
      </c>
      <c r="C272" s="8">
        <f>'50 изоляция'!C319*0.9</f>
        <v>5696.559</v>
      </c>
      <c r="D272" s="88">
        <f>'50 изоляция'!D319*0.9</f>
        <v>6168.096</v>
      </c>
      <c r="E272" s="8">
        <f>'50 изоляция'!E319*0.9</f>
        <v>6673.392</v>
      </c>
      <c r="F272" s="8">
        <f>'50 изоляция'!F319*0.9</f>
        <v>7003.359</v>
      </c>
      <c r="G272" s="88">
        <f>'50 изоляция'!G319*0.9</f>
        <v>7547.859</v>
      </c>
      <c r="H272" s="8">
        <f>'50 изоляция'!H319*0.9</f>
        <v>7872.381</v>
      </c>
      <c r="I272" s="8">
        <f>'50 изоляция'!I319*0.9</f>
        <v>8604.189</v>
      </c>
      <c r="J272" s="88">
        <f>'50 изоляция'!J319*0.9</f>
        <v>9650.718</v>
      </c>
      <c r="K272" s="8">
        <f>'50 изоляция'!K319*0.9</f>
        <v>10858.419</v>
      </c>
      <c r="L272" s="8">
        <f>'50 изоляция'!L319*0.9</f>
        <v>10809.414</v>
      </c>
      <c r="M272" s="8">
        <f>'50 изоляция'!M319*0.9</f>
        <v>11716.551</v>
      </c>
    </row>
    <row r="273" ht="19.5" customHeight="1" spans="1:13">
      <c r="A273" s="89" t="s">
        <v>27</v>
      </c>
      <c r="B273" s="8">
        <f>'50 изоляция'!B320*0.9</f>
        <v>7048.008</v>
      </c>
      <c r="C273" s="8">
        <f>'50 изоляция'!C320*0.9</f>
        <v>7477.074</v>
      </c>
      <c r="D273" s="88">
        <f>'50 изоляция'!D320*0.9</f>
        <v>7721.01</v>
      </c>
      <c r="E273" s="8">
        <f>'50 изоляция'!E320*0.9</f>
        <v>8187.102</v>
      </c>
      <c r="F273" s="8">
        <f>'50 изоляция'!F320*0.9</f>
        <v>8559.54</v>
      </c>
      <c r="G273" s="88">
        <f>'50 изоляция'!G320*0.9</f>
        <v>9465.588</v>
      </c>
      <c r="H273" s="8">
        <f>'50 изоляция'!H320*0.9</f>
        <v>10051.47</v>
      </c>
      <c r="I273" s="8">
        <f>'50 изоляция'!I320*0.9</f>
        <v>11356.092</v>
      </c>
      <c r="J273" s="88">
        <f>'50 изоляция'!J320*0.9</f>
        <v>13512.312</v>
      </c>
      <c r="K273" s="8">
        <f>'50 изоляция'!K320*0.9</f>
        <v>16393.806</v>
      </c>
      <c r="L273" s="8">
        <f>'50 изоляция'!L320*0.9</f>
        <v>18123.138</v>
      </c>
      <c r="M273" s="8">
        <f>'50 изоляция'!M320*0.9</f>
        <v>19159.866</v>
      </c>
    </row>
    <row r="274" ht="19.5" customHeight="1" spans="1:13">
      <c r="A274" s="89" t="s">
        <v>70</v>
      </c>
      <c r="B274" s="8">
        <f>'50 изоляция'!B321*0.9</f>
        <v>13003.749</v>
      </c>
      <c r="C274" s="8">
        <f>'50 изоляция'!C321*0.9</f>
        <v>13426.281</v>
      </c>
      <c r="D274" s="88">
        <f>'50 изоляция'!D321*0.9</f>
        <v>13771.494</v>
      </c>
      <c r="E274" s="8">
        <f>'50 изоляция'!E321*0.9</f>
        <v>14163.534</v>
      </c>
      <c r="F274" s="8">
        <f>'50 изоляция'!F321*0.9</f>
        <v>14607.846</v>
      </c>
      <c r="G274" s="88">
        <f>'50 изоляция'!G321*0.9</f>
        <v>15611.904</v>
      </c>
      <c r="H274" s="8">
        <f>'50 изоляция'!H321*0.9</f>
        <v>16153.137</v>
      </c>
      <c r="I274" s="8">
        <f>'50 изоляция'!I321*0.9</f>
        <v>17325.99</v>
      </c>
      <c r="J274" s="88">
        <f>'50 изоляция'!J321*0.9</f>
        <v>19331.928</v>
      </c>
      <c r="K274" s="8">
        <f>'50 изоляция'!K321*0.9</f>
        <v>22726.341</v>
      </c>
      <c r="L274" s="8">
        <f>'50 изоляция'!L321*0.9</f>
        <v>24763.86</v>
      </c>
      <c r="M274" s="8">
        <f>'50 изоляция'!M321*0.9</f>
        <v>25985.718</v>
      </c>
    </row>
    <row r="275" ht="19.5" customHeight="1" spans="1:13">
      <c r="A275" s="89" t="s">
        <v>32</v>
      </c>
      <c r="B275" s="8">
        <f>'50 изоляция'!B322*0.9</f>
        <v>1520.244</v>
      </c>
      <c r="C275" s="8">
        <f>'50 изоляция'!C322*0.9</f>
        <v>1549.647</v>
      </c>
      <c r="D275" s="88">
        <f>'50 изоляция'!D322*0.9</f>
        <v>1582.317</v>
      </c>
      <c r="E275" s="8">
        <f>'50 изоляция'!E322*0.9</f>
        <v>1743.489</v>
      </c>
      <c r="F275" s="8">
        <f>'50 изоляция'!F322*0.9</f>
        <v>1903.572</v>
      </c>
      <c r="G275" s="88">
        <f>'50 изоляция'!G322*0.9</f>
        <v>1991.781</v>
      </c>
      <c r="H275" s="8">
        <f>'50 изоляция'!H322*0.9</f>
        <v>2156.22</v>
      </c>
      <c r="I275" s="8">
        <f>'50 изоляция'!I322*0.9</f>
        <v>2225.916</v>
      </c>
      <c r="J275" s="88">
        <f>'50 изоляция'!J322*0.9</f>
        <v>2454.606</v>
      </c>
      <c r="K275" s="8">
        <f>'50 изоляция'!K322*0.9</f>
        <v>2730.123</v>
      </c>
      <c r="L275" s="8">
        <f>'50 изоляция'!L322*0.9</f>
        <v>2895.651</v>
      </c>
      <c r="M275" s="8">
        <f>'50 изоляция'!M322*0.9</f>
        <v>2994.75</v>
      </c>
    </row>
    <row r="276" ht="19.5" customHeight="1" spans="1:13">
      <c r="A276" s="89" t="s">
        <v>81</v>
      </c>
      <c r="B276" s="8">
        <f>'50 изоляция'!B323*0.9</f>
        <v>4305.906</v>
      </c>
      <c r="C276" s="8">
        <f>'50 изоляция'!C323*0.9</f>
        <v>4448.565</v>
      </c>
      <c r="D276" s="88">
        <f>'50 изоляция'!D323*0.9</f>
        <v>4488.858</v>
      </c>
      <c r="E276" s="8">
        <f>'50 изоляция'!E323*0.9</f>
        <v>4658.742</v>
      </c>
      <c r="F276" s="8">
        <f>'50 изоляция'!F323*0.9</f>
        <v>4826.448</v>
      </c>
      <c r="G276" s="88">
        <f>'50 изоляция'!G323*0.9</f>
        <v>5297.985</v>
      </c>
      <c r="H276" s="8">
        <f>'50 изоляция'!H323*0.9</f>
        <v>5723.784</v>
      </c>
      <c r="I276" s="8">
        <f>'50 изоляция'!I323*0.9</f>
        <v>6160.473</v>
      </c>
      <c r="J276" s="88">
        <f>'50 изоляция'!J323*0.9</f>
        <v>6795.36</v>
      </c>
      <c r="K276" s="8">
        <f>'50 изоляция'!K323*0.9</f>
        <v>8533.404</v>
      </c>
      <c r="L276" s="8">
        <f>'50 изоляция'!L323*0.9</f>
        <v>9576.666</v>
      </c>
      <c r="M276" s="8">
        <f>'50 изоляция'!M323*0.9</f>
        <v>10201.752</v>
      </c>
    </row>
    <row r="277" ht="19.5" customHeight="1" spans="1:13">
      <c r="A277" s="89" t="s">
        <v>82</v>
      </c>
      <c r="B277" s="8">
        <f>'50 изоляция'!B324*0.9</f>
        <v>5246.802</v>
      </c>
      <c r="C277" s="8">
        <f>'50 изоляция'!C324*0.9</f>
        <v>5450.445</v>
      </c>
      <c r="D277" s="88">
        <f>'50 изоляция'!D324*0.9</f>
        <v>5489.649</v>
      </c>
      <c r="E277" s="8">
        <f>'50 изоляция'!E324*0.9</f>
        <v>5729.229</v>
      </c>
      <c r="F277" s="8">
        <f>'50 изоляция'!F324*0.9</f>
        <v>5965.542</v>
      </c>
      <c r="G277" s="88">
        <f>'50 изоляция'!G324*0.9</f>
        <v>6428.367</v>
      </c>
      <c r="H277" s="8">
        <f>'50 изоляция'!H324*0.9</f>
        <v>6677.748</v>
      </c>
      <c r="I277" s="8">
        <f>'50 изоляция'!I324*0.9</f>
        <v>7211.358</v>
      </c>
      <c r="J277" s="88">
        <f>'50 изоляция'!J324*0.9</f>
        <v>8043.354</v>
      </c>
      <c r="K277" s="8">
        <f>'50 изоляция'!K324*0.9</f>
        <v>9860.895</v>
      </c>
      <c r="L277" s="8">
        <f>'50 изоляция'!L324*0.9</f>
        <v>10952.073</v>
      </c>
      <c r="M277" s="8">
        <f>'50 изоляция'!M324*0.9</f>
        <v>11605.473</v>
      </c>
    </row>
    <row r="278" ht="19.5" customHeight="1" spans="1:13">
      <c r="A278" s="89" t="s">
        <v>39</v>
      </c>
      <c r="B278" s="8">
        <f>'50 изоляция'!B325*0.9</f>
        <v>3567.564</v>
      </c>
      <c r="C278" s="8">
        <f>'50 изоляция'!C325*0.9</f>
        <v>3614.391</v>
      </c>
      <c r="D278" s="88">
        <f>'50 изоляция'!D325*0.9</f>
        <v>3717.846</v>
      </c>
      <c r="E278" s="8">
        <f>'50 изоляция'!E325*0.9</f>
        <v>4071.771</v>
      </c>
      <c r="F278" s="8">
        <f>'50 изоляция'!F325*0.9</f>
        <v>4303.728</v>
      </c>
      <c r="G278" s="88">
        <f>'50 изоляция'!G325*0.9</f>
        <v>4665.276</v>
      </c>
      <c r="H278" s="8">
        <f>'50 изоляция'!H325*0.9</f>
        <v>4731.705</v>
      </c>
      <c r="I278" s="8">
        <f>'50 изоляция'!I325*0.9</f>
        <v>4913.568</v>
      </c>
      <c r="J278" s="88">
        <f>'50 изоляция'!J325*0.9</f>
        <v>5309.964</v>
      </c>
      <c r="K278" s="8">
        <f>'50 изоляция'!K325*0.9</f>
        <v>6208.389</v>
      </c>
      <c r="L278" s="8">
        <f>'50 изоляция'!L325*0.9</f>
        <v>6748.533</v>
      </c>
      <c r="M278" s="8">
        <f>'50 изоляция'!M325*0.9</f>
        <v>7070.877</v>
      </c>
    </row>
    <row r="279" ht="19.5" customHeight="1" spans="1:1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</row>
    <row r="280" ht="19.5" customHeight="1" spans="1:13">
      <c r="A280" s="120" t="s">
        <v>35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9.5" customHeight="1" spans="1:1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83" t="s">
        <v>99</v>
      </c>
    </row>
    <row r="282" ht="19.5" customHeight="1" spans="1:13">
      <c r="A282" s="35"/>
      <c r="B282" s="35"/>
      <c r="C282" s="35"/>
      <c r="D282" s="35"/>
      <c r="E282" s="35"/>
      <c r="F282" s="35"/>
      <c r="G282" s="35"/>
      <c r="H282" s="35"/>
      <c r="I282" s="35"/>
      <c r="J282" s="35"/>
    </row>
    <row r="283" ht="19.5" customHeight="1" spans="1:13">
      <c r="A283" s="92" t="s">
        <v>122</v>
      </c>
      <c r="B283" s="35"/>
      <c r="C283" s="35"/>
      <c r="D283" s="35"/>
      <c r="E283" s="35"/>
      <c r="F283" s="35"/>
      <c r="G283" s="35"/>
      <c r="H283" s="35"/>
      <c r="I283" s="35"/>
      <c r="J283" s="35"/>
    </row>
    <row r="284" ht="19.5" customHeight="1" spans="1:13">
      <c r="A284" s="92" t="s">
        <v>118</v>
      </c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</row>
    <row r="285" ht="19.5" customHeight="1" spans="1:13">
      <c r="A285" s="92" t="s">
        <v>102</v>
      </c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</row>
    <row r="286" ht="27" customHeight="1" spans="1:13">
      <c r="A286" s="17"/>
      <c r="B286" s="86" t="s">
        <v>103</v>
      </c>
      <c r="C286" s="86" t="s">
        <v>104</v>
      </c>
      <c r="D286" s="86" t="s">
        <v>105</v>
      </c>
      <c r="E286" s="86" t="s">
        <v>106</v>
      </c>
      <c r="F286" s="86" t="s">
        <v>107</v>
      </c>
      <c r="G286" s="86" t="s">
        <v>108</v>
      </c>
      <c r="H286" s="86" t="s">
        <v>109</v>
      </c>
      <c r="I286" s="86" t="s">
        <v>110</v>
      </c>
      <c r="J286" s="86" t="s">
        <v>111</v>
      </c>
      <c r="K286" s="86" t="s">
        <v>112</v>
      </c>
      <c r="L286" s="86" t="s">
        <v>113</v>
      </c>
      <c r="M286" s="86" t="s">
        <v>114</v>
      </c>
    </row>
    <row r="287" ht="19.5" customHeight="1" spans="1:13">
      <c r="A287" s="89" t="s">
        <v>68</v>
      </c>
      <c r="B287" s="8">
        <f>'50 изоляция'!B334*0.9</f>
        <v>3765.0195</v>
      </c>
      <c r="C287" s="8">
        <f>'50 изоляция'!C334*0.9</f>
        <v>3827.637</v>
      </c>
      <c r="D287" s="88">
        <f>'50 изоляция'!D334*0.9</f>
        <v>4103.154</v>
      </c>
      <c r="E287" s="8">
        <f>'50 изоляция'!E334*0.9</f>
        <v>4434.4575</v>
      </c>
      <c r="F287" s="8">
        <f>'50 изоляция'!F334*0.9</f>
        <v>4781.7</v>
      </c>
      <c r="G287" s="88">
        <f>'50 изоляция'!G334*0.9</f>
        <v>4986.63</v>
      </c>
      <c r="H287" s="8">
        <f>'50 изоляция'!H334*0.9</f>
        <v>5230.269</v>
      </c>
      <c r="I287" s="8">
        <f>'50 изоляция'!I334*0.9</f>
        <v>5738.04</v>
      </c>
      <c r="J287" s="88">
        <f>'50 изоляция'!J334*0.9</f>
        <v>6284.52</v>
      </c>
      <c r="K287" s="8">
        <f>'50 изоляция'!K334*0.9</f>
        <v>7650.72</v>
      </c>
      <c r="L287" s="8">
        <f>'50 изоляция'!L334*0.9</f>
        <v>8811.99</v>
      </c>
      <c r="M287" s="8">
        <f>'50 изоляция'!M334*0.9</f>
        <v>9016.92</v>
      </c>
    </row>
    <row r="288" ht="19.5" customHeight="1" spans="1:13">
      <c r="A288" s="89" t="s">
        <v>18</v>
      </c>
      <c r="B288" s="8">
        <f>'50 изоляция'!B335*0.9</f>
        <v>3086.4735</v>
      </c>
      <c r="C288" s="8">
        <f>'50 изоляция'!C335*0.9</f>
        <v>3321.0045</v>
      </c>
      <c r="D288" s="88">
        <f>'50 изоляция'!D335*0.9</f>
        <v>3605.6295</v>
      </c>
      <c r="E288" s="8">
        <f>'50 изоляция'!E335*0.9</f>
        <v>3857.238</v>
      </c>
      <c r="F288" s="8">
        <f>'50 изоляция'!F335*0.9</f>
        <v>4086.0765</v>
      </c>
      <c r="G288" s="88">
        <f>'50 изоляция'!G335*0.9</f>
        <v>4281.8985</v>
      </c>
      <c r="H288" s="8">
        <f>'50 изоляция'!H335*0.9</f>
        <v>4526.676</v>
      </c>
      <c r="I288" s="8">
        <f>'50 изоляция'!I335*0.9</f>
        <v>5171.067</v>
      </c>
      <c r="J288" s="88">
        <f>'50 изоляция'!J335*0.9</f>
        <v>5322.4875</v>
      </c>
      <c r="K288" s="8">
        <f>'50 изоляция'!K335*0.9</f>
        <v>6557.76</v>
      </c>
      <c r="L288" s="8">
        <f>'50 изоляция'!L335*0.9</f>
        <v>7131.564</v>
      </c>
      <c r="M288" s="8">
        <f>'50 изоляция'!M335*0.9</f>
        <v>7547.1165</v>
      </c>
    </row>
    <row r="289" ht="19.5" customHeight="1" spans="1:13">
      <c r="A289" s="89" t="s">
        <v>19</v>
      </c>
      <c r="B289" s="8">
        <f>'50 изоляция'!B336*0.9</f>
        <v>2404.512</v>
      </c>
      <c r="C289" s="8">
        <f>'50 изоляция'!C336*0.9</f>
        <v>2607.165</v>
      </c>
      <c r="D289" s="88">
        <f>'50 изоляция'!D336*0.9</f>
        <v>2841.696</v>
      </c>
      <c r="E289" s="8">
        <f>'50 изоляция'!E336*0.9</f>
        <v>3054.5955</v>
      </c>
      <c r="F289" s="8">
        <f>'50 изоляция'!F336*0.9</f>
        <v>3344.913</v>
      </c>
      <c r="G289" s="88">
        <f>'50 изоляция'!G336*0.9</f>
        <v>3552.12</v>
      </c>
      <c r="H289" s="8">
        <f>'50 изоляция'!H336*0.9</f>
        <v>3693.294</v>
      </c>
      <c r="I289" s="8">
        <f>'50 изоляция'!I336*0.9</f>
        <v>4010.9355</v>
      </c>
      <c r="J289" s="88">
        <f>'50 изоляция'!J336*0.9</f>
        <v>4371.84</v>
      </c>
      <c r="K289" s="8">
        <f>'50 изоляция'!K336*0.9</f>
        <v>5533.11</v>
      </c>
      <c r="L289" s="8">
        <f>'50 изоляция'!L336*0.9</f>
        <v>5901.984</v>
      </c>
      <c r="M289" s="8">
        <f>'50 изоляция'!M336*0.9</f>
        <v>6284.52</v>
      </c>
    </row>
    <row r="290" ht="19.5" customHeight="1" spans="1:13">
      <c r="A290" s="89" t="s">
        <v>20</v>
      </c>
      <c r="B290" s="8">
        <f>'50 изоляция'!B337*0.9</f>
        <v>1995.7905</v>
      </c>
      <c r="C290" s="8">
        <f>'50 изоляция'!C337*0.9</f>
        <v>2177.9505</v>
      </c>
      <c r="D290" s="88">
        <f>'50 изоляция'!D337*0.9</f>
        <v>2382.8805</v>
      </c>
      <c r="E290" s="8">
        <f>'50 изоляция'!E337*0.9</f>
        <v>2574.1485</v>
      </c>
      <c r="F290" s="8">
        <f>'50 изоляция'!F337*0.9</f>
        <v>2773.386</v>
      </c>
      <c r="G290" s="88">
        <f>'50 изоляция'!G337*0.9</f>
        <v>2869.02</v>
      </c>
      <c r="H290" s="8">
        <f>'50 изоляция'!H337*0.9</f>
        <v>3017.025</v>
      </c>
      <c r="I290" s="8">
        <f>'50 изоляция'!I337*0.9</f>
        <v>3231.063</v>
      </c>
      <c r="J290" s="88">
        <f>'50 изоляция'!J337*0.9</f>
        <v>3552.12</v>
      </c>
      <c r="K290" s="8">
        <f>'50 изоляция'!K337*0.9</f>
        <v>4278.483</v>
      </c>
      <c r="L290" s="8">
        <f>'50 изоляция'!L337*0.9</f>
        <v>4714.5285</v>
      </c>
      <c r="M290" s="8">
        <f>'50 изоляция'!M337*0.9</f>
        <v>5005.9845</v>
      </c>
    </row>
    <row r="291" ht="19.5" customHeight="1" spans="1:13">
      <c r="A291" s="89" t="s">
        <v>21</v>
      </c>
      <c r="B291" s="8">
        <f>'50 изоляция'!B338*0.9</f>
        <v>1893.3255</v>
      </c>
      <c r="C291" s="8">
        <f>'50 изоляция'!C338*0.9</f>
        <v>1917.234</v>
      </c>
      <c r="D291" s="88">
        <f>'50 изоляция'!D338*0.9</f>
        <v>1999.206</v>
      </c>
      <c r="E291" s="8">
        <f>'50 изоляция'!E338*0.9</f>
        <v>2057.2695</v>
      </c>
      <c r="F291" s="8">
        <f>'50 изоляция'!F338*0.9</f>
        <v>2210.967</v>
      </c>
      <c r="G291" s="88">
        <f>'50 изоляция'!G338*0.9</f>
        <v>2317.986</v>
      </c>
      <c r="H291" s="8">
        <f>'50 изоляция'!H338*0.9</f>
        <v>2364.6645</v>
      </c>
      <c r="I291" s="8">
        <f>'50 изоляция'!I338*0.9</f>
        <v>2518.362</v>
      </c>
      <c r="J291" s="88">
        <f>'50 изоляция'!J338*0.9</f>
        <v>2850.804</v>
      </c>
      <c r="K291" s="8">
        <f>'50 изоляция'!K338*0.9</f>
        <v>3281.157</v>
      </c>
      <c r="L291" s="8">
        <f>'50 изоляция'!L338*0.9</f>
        <v>3539.5965</v>
      </c>
      <c r="M291" s="8">
        <f>'50 изоляция'!M338*0.9</f>
        <v>3711.51</v>
      </c>
    </row>
    <row r="292" ht="19.5" customHeight="1" spans="1:13">
      <c r="A292" s="89" t="s">
        <v>22</v>
      </c>
      <c r="B292" s="8">
        <f>'50 изоляция'!B339*0.9</f>
        <v>1443.618</v>
      </c>
      <c r="C292" s="8">
        <f>'50 изоляция'!C339*0.9</f>
        <v>1457.28</v>
      </c>
      <c r="D292" s="88">
        <f>'50 изоляция'!D339*0.9</f>
        <v>1505.097</v>
      </c>
      <c r="E292" s="8">
        <f>'50 изоляция'!E339*0.9</f>
        <v>1541.529</v>
      </c>
      <c r="F292" s="8">
        <f>'50 изоляция'!F339*0.9</f>
        <v>1630.332</v>
      </c>
      <c r="G292" s="88">
        <f>'50 изоляция'!G339*0.9</f>
        <v>1705.473</v>
      </c>
      <c r="H292" s="8">
        <f>'50 изоляция'!H339*0.9</f>
        <v>1732.797</v>
      </c>
      <c r="I292" s="8">
        <f>'50 изоляция'!I339*0.9</f>
        <v>1942.281</v>
      </c>
      <c r="J292" s="88">
        <f>'50 изоляция'!J339*0.9</f>
        <v>2152.9035</v>
      </c>
      <c r="K292" s="8">
        <f>'50 изоляция'!K339*0.9</f>
        <v>2418.174</v>
      </c>
      <c r="L292" s="8">
        <f>'50 изоляция'!L339*0.9</f>
        <v>2576.4255</v>
      </c>
      <c r="M292" s="8">
        <f>'50 изоляция'!M339*0.9</f>
        <v>2683.4445</v>
      </c>
    </row>
    <row r="293" ht="19.5" customHeight="1" spans="1:13">
      <c r="A293" s="89" t="s">
        <v>23</v>
      </c>
      <c r="B293" s="8">
        <f>'50 изоляция'!B340*0.9</f>
        <v>4260.267</v>
      </c>
      <c r="C293" s="8">
        <f>'50 изоляция'!C340*0.9</f>
        <v>4606.371</v>
      </c>
      <c r="D293" s="88">
        <f>'50 изоляция'!D340*0.9</f>
        <v>4818.132</v>
      </c>
      <c r="E293" s="8">
        <f>'50 изоляция'!E340*0.9</f>
        <v>5316.795</v>
      </c>
      <c r="F293" s="8">
        <f>'50 изоляция'!F340*0.9</f>
        <v>5664.0375</v>
      </c>
      <c r="G293" s="88">
        <f>'50 изоляция'!G340*0.9</f>
        <v>6022.665</v>
      </c>
      <c r="H293" s="8">
        <f>'50 изоляция'!H340*0.9</f>
        <v>6330.06</v>
      </c>
      <c r="I293" s="8">
        <f>'50 изоляция'!I340*0.9</f>
        <v>7137.2565</v>
      </c>
      <c r="J293" s="88">
        <f>'50 изоляция'!J340*0.9</f>
        <v>7926.237</v>
      </c>
      <c r="K293" s="8">
        <f>'50 изоляция'!K340*0.9</f>
        <v>9940.2435</v>
      </c>
      <c r="L293" s="8">
        <f>'50 изоляция'!L340*0.9</f>
        <v>10956.924</v>
      </c>
      <c r="M293" s="8">
        <f>'50 изоляция'!M340*0.9</f>
        <v>11478.357</v>
      </c>
    </row>
    <row r="294" ht="19.5" customHeight="1" spans="1:13">
      <c r="A294" s="89" t="s">
        <v>24</v>
      </c>
      <c r="B294" s="8">
        <f>'50 изоляция'!B341*0.9</f>
        <v>3987.027</v>
      </c>
      <c r="C294" s="8">
        <f>'50 изоляция'!C341*0.9</f>
        <v>4333.131</v>
      </c>
      <c r="D294" s="88">
        <f>'50 изоляция'!D341*0.9</f>
        <v>4544.892</v>
      </c>
      <c r="E294" s="8">
        <f>'50 изоляция'!E341*0.9</f>
        <v>5043.555</v>
      </c>
      <c r="F294" s="8">
        <f>'50 изоляция'!F341*0.9</f>
        <v>5390.7975</v>
      </c>
      <c r="G294" s="88">
        <f>'50 изоляция'!G341*0.9</f>
        <v>5749.425</v>
      </c>
      <c r="H294" s="8">
        <f>'50 изоляция'!H341*0.9</f>
        <v>6090.975</v>
      </c>
      <c r="I294" s="8">
        <f>'50 изоляция'!I341*0.9</f>
        <v>6864.0165</v>
      </c>
      <c r="J294" s="88">
        <f>'50 изоляция'!J341*0.9</f>
        <v>7652.997</v>
      </c>
      <c r="K294" s="8">
        <f>'50 изоляция'!K341*0.9</f>
        <v>9667.0035</v>
      </c>
      <c r="L294" s="8">
        <f>'50 изоляция'!L341*0.9</f>
        <v>10683.684</v>
      </c>
      <c r="M294" s="8">
        <f>'50 изоляция'!M341*0.9</f>
        <v>11205.117</v>
      </c>
    </row>
    <row r="295" ht="19.5" customHeight="1" spans="1:13">
      <c r="A295" s="89" t="s">
        <v>26</v>
      </c>
      <c r="B295" s="8">
        <f>'50 изоляция'!B342*0.9</f>
        <v>5109.588</v>
      </c>
      <c r="C295" s="8">
        <f>'50 изоляция'!C342*0.9</f>
        <v>5453.415</v>
      </c>
      <c r="D295" s="88">
        <f>'50 изоляция'!D342*0.9</f>
        <v>5897.43</v>
      </c>
      <c r="E295" s="8">
        <f>'50 изоляция'!E342*0.9</f>
        <v>6637.455</v>
      </c>
      <c r="F295" s="8">
        <f>'50 изоляция'!F342*0.9</f>
        <v>6719.427</v>
      </c>
      <c r="G295" s="88">
        <f>'50 изоляция'!G342*0.9</f>
        <v>7172.55</v>
      </c>
      <c r="H295" s="8">
        <f>'50 изоляция'!H342*0.9</f>
        <v>7575.579</v>
      </c>
      <c r="I295" s="8">
        <f>'50 изоляция'!I342*0.9</f>
        <v>8424.9</v>
      </c>
      <c r="J295" s="88">
        <f>'50 изоляция'!J342*0.9</f>
        <v>9151.263</v>
      </c>
      <c r="K295" s="8">
        <f>'50 изоляция'!K342*0.9</f>
        <v>11238.1335</v>
      </c>
      <c r="L295" s="8">
        <f>'50 изоляция'!L342*0.9</f>
        <v>12491.622</v>
      </c>
      <c r="M295" s="8">
        <f>'50 изоляция'!M342*0.9</f>
        <v>13326.1425</v>
      </c>
    </row>
    <row r="296" ht="19.5" customHeight="1" spans="1:13">
      <c r="A296" s="89" t="s">
        <v>27</v>
      </c>
      <c r="B296" s="8">
        <f>'50 изоляция'!B343*0.9</f>
        <v>6907.2795</v>
      </c>
      <c r="C296" s="8">
        <f>'50 изоляция'!C343*0.9</f>
        <v>7260.2145</v>
      </c>
      <c r="D296" s="88">
        <f>'50 изоляция'!D343*0.9</f>
        <v>7586.964</v>
      </c>
      <c r="E296" s="8">
        <f>'50 изоляция'!E343*0.9</f>
        <v>8127.7515</v>
      </c>
      <c r="F296" s="8">
        <f>'50 изоляция'!F343*0.9</f>
        <v>8552.412</v>
      </c>
      <c r="G296" s="88">
        <f>'50 изоляция'!G343*0.9</f>
        <v>9485.982</v>
      </c>
      <c r="H296" s="8">
        <f>'50 изоляция'!H343*0.9</f>
        <v>10515.186</v>
      </c>
      <c r="I296" s="8">
        <f>'50 изоляция'!I343*0.9</f>
        <v>11584.2375</v>
      </c>
      <c r="J296" s="88">
        <f>'50 изоляция'!J343*0.9</f>
        <v>13284.018</v>
      </c>
      <c r="K296" s="8">
        <f>'50 изоляция'!K343*0.9</f>
        <v>15688.53</v>
      </c>
      <c r="L296" s="8">
        <f>'50 изоляция'!L343*0.9</f>
        <v>17131.0095</v>
      </c>
      <c r="M296" s="8">
        <f>'50 изоляция'!M343*0.9</f>
        <v>17997.408</v>
      </c>
    </row>
    <row r="297" ht="19.5" customHeight="1" spans="1:13">
      <c r="A297" s="89" t="s">
        <v>70</v>
      </c>
      <c r="B297" s="8">
        <f>'50 изоляция'!B344*0.9</f>
        <v>12496.176</v>
      </c>
      <c r="C297" s="8">
        <f>'50 изоляция'!C344*0.9</f>
        <v>12916.2825</v>
      </c>
      <c r="D297" s="88">
        <f>'50 изоляция'!D344*0.9</f>
        <v>13277.187</v>
      </c>
      <c r="E297" s="8">
        <f>'50 изоляция'!E344*0.9</f>
        <v>13676.8005</v>
      </c>
      <c r="F297" s="8">
        <f>'50 изоляция'!F344*0.9</f>
        <v>14121.954</v>
      </c>
      <c r="G297" s="88">
        <f>'50 изоляция'!G344*0.9</f>
        <v>15104.4795</v>
      </c>
      <c r="H297" s="8">
        <f>'50 изоляция'!H344*0.9</f>
        <v>15635.0205</v>
      </c>
      <c r="I297" s="8">
        <f>'50 изоляция'!I344*0.9</f>
        <v>16776.936</v>
      </c>
      <c r="J297" s="88">
        <f>'50 изоляция'!J344*0.9</f>
        <v>18855.837</v>
      </c>
      <c r="K297" s="8">
        <f>'50 изоляция'!K344*0.9</f>
        <v>22431.8655</v>
      </c>
      <c r="L297" s="8">
        <f>'50 изоляция'!L344*0.9</f>
        <v>24576.7995</v>
      </c>
      <c r="M297" s="8">
        <f>'50 изоляция'!M344*0.9</f>
        <v>26068.2345</v>
      </c>
    </row>
    <row r="298" ht="19.5" customHeight="1" spans="1:13">
      <c r="A298" s="89" t="s">
        <v>71</v>
      </c>
      <c r="B298" s="8">
        <f>'50 изоляция'!B345*0.9</f>
        <v>1498.266</v>
      </c>
      <c r="C298" s="8">
        <f>'50 изоляция'!C345*0.9</f>
        <v>1530.144</v>
      </c>
      <c r="D298" s="88">
        <f>'50 изоляция'!D345*0.9</f>
        <v>1639.44</v>
      </c>
      <c r="E298" s="8">
        <f>'50 изоляция'!E345*0.9</f>
        <v>1817.046</v>
      </c>
      <c r="F298" s="8">
        <f>'50 изоляция'!F345*0.9</f>
        <v>1952.5275</v>
      </c>
      <c r="G298" s="88">
        <f>'50 изоляция'!G345*0.9</f>
        <v>2070.9315</v>
      </c>
      <c r="H298" s="8">
        <f>'50 изоляция'!H345*0.9</f>
        <v>2248.5375</v>
      </c>
      <c r="I298" s="8">
        <f>'50 изоляция'!I345*0.9</f>
        <v>2322.54</v>
      </c>
      <c r="J298" s="88">
        <f>'50 изоляция'!J345*0.9</f>
        <v>2595.78</v>
      </c>
      <c r="K298" s="8">
        <f>'50 изоляция'!K345*0.9</f>
        <v>2970.3465</v>
      </c>
      <c r="L298" s="8">
        <f>'50 изоляция'!L345*0.9</f>
        <v>3194.631</v>
      </c>
      <c r="M298" s="8">
        <f>'50 изоляция'!M345*0.9</f>
        <v>3328.974</v>
      </c>
    </row>
    <row r="299" ht="19.5" customHeight="1" spans="1:13">
      <c r="A299" s="89" t="s">
        <v>72</v>
      </c>
      <c r="B299" s="8">
        <f>'50 изоляция'!B346*0.9</f>
        <v>4196.511</v>
      </c>
      <c r="C299" s="8">
        <f>'50 изоляция'!C346*0.9</f>
        <v>4326.3</v>
      </c>
      <c r="D299" s="88">
        <f>'50 изоляция'!D346*0.9</f>
        <v>4386.6405</v>
      </c>
      <c r="E299" s="8">
        <f>'50 изоляция'!E346*0.9</f>
        <v>4556.277</v>
      </c>
      <c r="F299" s="8">
        <f>'50 изоляция'!F346*0.9</f>
        <v>4707.6975</v>
      </c>
      <c r="G299" s="88">
        <f>'50 изоляция'!G346*0.9</f>
        <v>5069.7405</v>
      </c>
      <c r="H299" s="8">
        <f>'50 изоляция'!H346*0.9</f>
        <v>5238.2385</v>
      </c>
      <c r="I299" s="8">
        <f>'50 изоляция'!I346*0.9</f>
        <v>5607.1125</v>
      </c>
      <c r="J299" s="88">
        <f>'50 изоляция'!J346*0.9</f>
        <v>6290.2125</v>
      </c>
      <c r="K299" s="8">
        <f>'50 изоляция'!K346*0.9</f>
        <v>7588.1025</v>
      </c>
      <c r="L299" s="8">
        <f>'50 изоляция'!L346*0.9</f>
        <v>8366.8365</v>
      </c>
      <c r="M299" s="8">
        <f>'50 изоляция'!M346*0.9</f>
        <v>8833.6215</v>
      </c>
    </row>
    <row r="300" ht="19.5" customHeight="1" spans="1:13">
      <c r="A300" s="89" t="s">
        <v>73</v>
      </c>
      <c r="B300" s="8">
        <f>'50 изоляция'!B347*0.9</f>
        <v>1700.919</v>
      </c>
      <c r="C300" s="8">
        <f>'50 изоляция'!C347*0.9</f>
        <v>1771.506</v>
      </c>
      <c r="D300" s="88">
        <f>'50 изоляция'!D347*0.9</f>
        <v>1897.8795</v>
      </c>
      <c r="E300" s="8">
        <f>'50 изоляция'!E347*0.9</f>
        <v>2001.483</v>
      </c>
      <c r="F300" s="8">
        <f>'50 изоляция'!F347*0.9</f>
        <v>2076.624</v>
      </c>
      <c r="G300" s="88">
        <f>'50 изоляция'!G347*0.9</f>
        <v>2328.2325</v>
      </c>
      <c r="H300" s="8">
        <f>'50 изоляция'!H347*0.9</f>
        <v>2492.1765</v>
      </c>
      <c r="I300" s="8">
        <f>'50 изоляция'!I347*0.9</f>
        <v>2902.0365</v>
      </c>
      <c r="J300" s="88">
        <f>'50 изоляция'!J347*0.9</f>
        <v>3147.9525</v>
      </c>
      <c r="K300" s="8">
        <f>'50 изоляция'!K347*0.9</f>
        <v>3860.6535</v>
      </c>
      <c r="L300" s="8">
        <f>'50 изоляция'!L347*0.9</f>
        <v>4288.7295</v>
      </c>
      <c r="M300" s="8">
        <f>'50 изоляция'!M347*0.9</f>
        <v>4544.892</v>
      </c>
    </row>
    <row r="301" ht="19.5" customHeight="1" spans="1:13">
      <c r="A301" s="89" t="s">
        <v>74</v>
      </c>
      <c r="B301" s="8">
        <f>'50 изоляция'!B348*0.9</f>
        <v>2147.211</v>
      </c>
      <c r="C301" s="8">
        <f>'50 изоляция'!C348*0.9</f>
        <v>2254.23</v>
      </c>
      <c r="D301" s="88">
        <f>'50 изоляция'!D348*0.9</f>
        <v>2404.512</v>
      </c>
      <c r="E301" s="8">
        <f>'50 изоляция'!E348*0.9</f>
        <v>2491.038</v>
      </c>
      <c r="F301" s="8">
        <f>'50 изоляция'!F348*0.9</f>
        <v>2624.2425</v>
      </c>
      <c r="G301" s="88">
        <f>'50 изоляция'!G348*0.9</f>
        <v>3055.734</v>
      </c>
      <c r="H301" s="8">
        <f>'50 изоляция'!H348*0.9</f>
        <v>3260.664</v>
      </c>
      <c r="I301" s="8">
        <f>'50 изоляция'!I348*0.9</f>
        <v>3619.2915</v>
      </c>
      <c r="J301" s="88">
        <f>'50 изоляция'!J348*0.9</f>
        <v>4035.9825</v>
      </c>
      <c r="K301" s="8">
        <f>'50 изоляция'!K348*0.9</f>
        <v>4844.3175</v>
      </c>
      <c r="L301" s="8">
        <f>'50 изоляция'!L348*0.9</f>
        <v>5329.3185</v>
      </c>
      <c r="M301" s="8">
        <f>'50 изоляция'!M348*0.9</f>
        <v>5620.7745</v>
      </c>
    </row>
    <row r="302" ht="19.5" customHeight="1" spans="1:13">
      <c r="A302" s="89" t="s">
        <v>77</v>
      </c>
      <c r="B302" s="8">
        <f>'50 изоляция'!B349*0.9</f>
        <v>2834.865</v>
      </c>
      <c r="C302" s="8">
        <f>'50 изоляция'!C349*0.9</f>
        <v>2910.006</v>
      </c>
      <c r="D302" s="88">
        <f>'50 изоляция'!D349*0.9</f>
        <v>3146.814</v>
      </c>
      <c r="E302" s="8">
        <f>'50 изоляция'!E349*0.9</f>
        <v>3415.5</v>
      </c>
      <c r="F302" s="8">
        <f>'50 изоляция'!F349*0.9</f>
        <v>3620.43</v>
      </c>
      <c r="G302" s="88">
        <f>'50 изоляция'!G349*0.9</f>
        <v>4097.4615</v>
      </c>
      <c r="H302" s="8">
        <f>'50 изоляция'!H349*0.9</f>
        <v>4476.582</v>
      </c>
      <c r="I302" s="8">
        <f>'50 изоляция'!I349*0.9</f>
        <v>4856.841</v>
      </c>
      <c r="J302" s="88">
        <f>'50 изоляция'!J349*0.9</f>
        <v>5312.241</v>
      </c>
      <c r="K302" s="8">
        <f>'50 изоляция'!K349*0.9</f>
        <v>6448.464</v>
      </c>
      <c r="L302" s="8">
        <f>'50 изоляция'!L349*0.9</f>
        <v>7130.4255</v>
      </c>
      <c r="M302" s="8">
        <f>'50 изоляция'!M349*0.9</f>
        <v>7584.687</v>
      </c>
    </row>
    <row r="303" ht="19.5" customHeight="1" spans="1:1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</row>
    <row r="304" ht="19.5" customHeight="1" spans="1:13">
      <c r="A304" s="120" t="s">
        <v>35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9.5" customHeight="1" spans="1:1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83" t="s">
        <v>99</v>
      </c>
    </row>
    <row r="306" ht="19.5" customHeight="1" spans="1:13">
      <c r="A306" s="35"/>
      <c r="B306" s="35"/>
      <c r="C306" s="35"/>
      <c r="D306" s="35"/>
      <c r="E306" s="35"/>
      <c r="F306" s="35"/>
      <c r="G306" s="35"/>
      <c r="H306" s="35"/>
      <c r="I306" s="35"/>
      <c r="J306" s="35"/>
    </row>
    <row r="307" ht="19.5" customHeight="1" spans="1:13">
      <c r="A307" s="92" t="s">
        <v>123</v>
      </c>
      <c r="B307" s="35"/>
      <c r="C307" s="35"/>
      <c r="D307" s="35"/>
      <c r="E307" s="35"/>
      <c r="F307" s="35"/>
      <c r="G307" s="35"/>
      <c r="H307" s="35"/>
      <c r="I307" s="35"/>
      <c r="J307" s="35"/>
    </row>
    <row r="308" ht="19.5" customHeight="1" spans="1:13">
      <c r="A308" s="92" t="s">
        <v>118</v>
      </c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</row>
    <row r="309" ht="19.5" customHeight="1" spans="1:13">
      <c r="A309" s="92" t="s">
        <v>102</v>
      </c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</row>
    <row r="310" ht="27" customHeight="1" spans="1:13">
      <c r="A310" s="17"/>
      <c r="B310" s="86" t="s">
        <v>103</v>
      </c>
      <c r="C310" s="86" t="s">
        <v>104</v>
      </c>
      <c r="D310" s="86" t="s">
        <v>105</v>
      </c>
      <c r="E310" s="86" t="s">
        <v>106</v>
      </c>
      <c r="F310" s="86" t="s">
        <v>107</v>
      </c>
      <c r="G310" s="86" t="s">
        <v>108</v>
      </c>
      <c r="H310" s="86" t="s">
        <v>109</v>
      </c>
      <c r="I310" s="86" t="s">
        <v>110</v>
      </c>
      <c r="J310" s="86" t="s">
        <v>111</v>
      </c>
      <c r="K310" s="86" t="s">
        <v>112</v>
      </c>
      <c r="L310" s="86" t="s">
        <v>113</v>
      </c>
      <c r="M310" s="86" t="s">
        <v>114</v>
      </c>
    </row>
    <row r="311" ht="19.5" customHeight="1" spans="1:13">
      <c r="A311" s="89" t="s">
        <v>68</v>
      </c>
      <c r="B311" s="8">
        <f>'50 изоляция'!B358*0.9</f>
        <v>4362.732</v>
      </c>
      <c r="C311" s="8">
        <f>'50 изоляция'!C358*0.9</f>
        <v>4747.545</v>
      </c>
      <c r="D311" s="88">
        <f>'50 изоляция'!D358*0.9</f>
        <v>5054.94</v>
      </c>
      <c r="E311" s="8">
        <f>'50 изоляция'!E358*0.9</f>
        <v>5478.462</v>
      </c>
      <c r="F311" s="8">
        <f>'50 изоляция'!F358*0.9</f>
        <v>5810.904</v>
      </c>
      <c r="G311" s="88">
        <f>'50 изоляция'!G358*0.9</f>
        <v>6064.7895</v>
      </c>
      <c r="H311" s="8">
        <f>'50 изоляция'!H358*0.9</f>
        <v>6648.84</v>
      </c>
      <c r="I311" s="8">
        <f>'50 изоляция'!I358*0.9</f>
        <v>7261.353</v>
      </c>
      <c r="J311" s="88">
        <f>'50 изоляция'!J358*0.9</f>
        <v>7807.833</v>
      </c>
      <c r="K311" s="8">
        <f>'50 изоляция'!K358*0.9</f>
        <v>9973.26</v>
      </c>
      <c r="L311" s="8">
        <f>'50 изоляция'!L358*0.9</f>
        <v>10929.6</v>
      </c>
      <c r="M311" s="8">
        <f>'50 изоляция'!M358*0.9</f>
        <v>11749.32</v>
      </c>
    </row>
    <row r="312" ht="19.5" customHeight="1" spans="1:13">
      <c r="A312" s="89" t="s">
        <v>18</v>
      </c>
      <c r="B312" s="8">
        <f>'50 изоляция'!B359*0.9</f>
        <v>3763.881</v>
      </c>
      <c r="C312" s="8">
        <f>'50 изоляция'!C359*0.9</f>
        <v>4015.4895</v>
      </c>
      <c r="D312" s="88">
        <f>'50 изоляция'!D359*0.9</f>
        <v>4371.84</v>
      </c>
      <c r="E312" s="8">
        <f>'50 изоляция'!E359*0.9</f>
        <v>4632.5565</v>
      </c>
      <c r="F312" s="8">
        <f>'50 изоляция'!F359*0.9</f>
        <v>4918.32</v>
      </c>
      <c r="G312" s="88">
        <f>'50 изоляция'!G359*0.9</f>
        <v>5045.832</v>
      </c>
      <c r="H312" s="8">
        <f>'50 изоляция'!H359*0.9</f>
        <v>5724.378</v>
      </c>
      <c r="I312" s="8">
        <f>'50 изоляция'!I359*0.9</f>
        <v>6353.9685</v>
      </c>
      <c r="J312" s="88">
        <f>'50 изоляция'!J359*0.9</f>
        <v>6557.76</v>
      </c>
      <c r="K312" s="8">
        <f>'50 изоляция'!K359*0.9</f>
        <v>8470.44</v>
      </c>
      <c r="L312" s="8">
        <f>'50 изоляция'!L359*0.9</f>
        <v>9290.16</v>
      </c>
      <c r="M312" s="8">
        <f>'50 изоляция'!M359*0.9</f>
        <v>10041.57</v>
      </c>
    </row>
    <row r="313" ht="19.5" customHeight="1" spans="1:13">
      <c r="A313" s="89" t="s">
        <v>19</v>
      </c>
      <c r="B313" s="8">
        <f>'50 изоляция'!B360*0.9</f>
        <v>3071.673</v>
      </c>
      <c r="C313" s="8">
        <f>'50 изоляция'!C360*0.9</f>
        <v>3284.5725</v>
      </c>
      <c r="D313" s="88">
        <f>'50 изоляция'!D360*0.9</f>
        <v>3552.12</v>
      </c>
      <c r="E313" s="8">
        <f>'50 изоляция'!E360*0.9</f>
        <v>3785.5125</v>
      </c>
      <c r="F313" s="8">
        <f>'50 изоляция'!F360*0.9</f>
        <v>4018.905</v>
      </c>
      <c r="G313" s="88">
        <f>'50 изоляция'!G360*0.9</f>
        <v>4437.873</v>
      </c>
      <c r="H313" s="8">
        <f>'50 изоляция'!H360*0.9</f>
        <v>4661.019</v>
      </c>
      <c r="I313" s="8">
        <f>'50 изоляция'!I360*0.9</f>
        <v>5172.2055</v>
      </c>
      <c r="J313" s="88">
        <f>'50 изоляция'!J360*0.9</f>
        <v>5464.8</v>
      </c>
      <c r="K313" s="8">
        <f>'50 изоляция'!K360*0.9</f>
        <v>7009.7445</v>
      </c>
      <c r="L313" s="8">
        <f>'50 изоляция'!L360*0.9</f>
        <v>7733.8305</v>
      </c>
      <c r="M313" s="8">
        <f>'50 изоляция'!M360*0.9</f>
        <v>8216.5545</v>
      </c>
    </row>
    <row r="314" ht="19.5" customHeight="1" spans="1:13">
      <c r="A314" s="89" t="s">
        <v>20</v>
      </c>
      <c r="B314" s="8">
        <f>'50 изоляция'!B361*0.9</f>
        <v>2802.987</v>
      </c>
      <c r="C314" s="8">
        <f>'50 изоляция'!C361*0.9</f>
        <v>2869.02</v>
      </c>
      <c r="D314" s="88">
        <f>'50 изоляция'!D361*0.9</f>
        <v>3031.8255</v>
      </c>
      <c r="E314" s="8">
        <f>'50 изоляция'!E361*0.9</f>
        <v>3144.537</v>
      </c>
      <c r="F314" s="8">
        <f>'50 изоляция'!F361*0.9</f>
        <v>3442.824</v>
      </c>
      <c r="G314" s="88">
        <f>'50 изоляция'!G361*0.9</f>
        <v>3588.552</v>
      </c>
      <c r="H314" s="8">
        <f>'50 изоляция'!H361*0.9</f>
        <v>3694.4325</v>
      </c>
      <c r="I314" s="8">
        <f>'50 изоляция'!I361*0.9</f>
        <v>3980.196</v>
      </c>
      <c r="J314" s="88">
        <f>'50 изоляция'!J361*0.9</f>
        <v>4563.108</v>
      </c>
      <c r="K314" s="8">
        <f>'50 изоляция'!K361*0.9</f>
        <v>5348.673</v>
      </c>
      <c r="L314" s="8">
        <f>'50 изоляция'!L361*0.9</f>
        <v>5820.012</v>
      </c>
      <c r="M314" s="8">
        <f>'50 изоляция'!M361*0.9</f>
        <v>6102.36</v>
      </c>
    </row>
    <row r="315" ht="19.5" customHeight="1" spans="1:13">
      <c r="A315" s="89" t="s">
        <v>21</v>
      </c>
      <c r="B315" s="8">
        <f>'50 изоляция'!B362*0.9</f>
        <v>2229.183</v>
      </c>
      <c r="C315" s="8">
        <f>'50 изоляция'!C362*0.9</f>
        <v>2277</v>
      </c>
      <c r="D315" s="88">
        <f>'50 изоляция'!D362*0.9</f>
        <v>2393.127</v>
      </c>
      <c r="E315" s="8">
        <f>'50 изоляция'!E362*0.9</f>
        <v>2473.9605</v>
      </c>
      <c r="F315" s="8">
        <f>'50 изоляция'!F362*0.9</f>
        <v>2686.86</v>
      </c>
      <c r="G315" s="88">
        <f>'50 изоляция'!G362*0.9</f>
        <v>2800.71</v>
      </c>
      <c r="H315" s="8">
        <f>'50 изоляция'!H362*0.9</f>
        <v>2875.851</v>
      </c>
      <c r="I315" s="8">
        <f>'50 изоляция'!I362*0.9</f>
        <v>3079.6425</v>
      </c>
      <c r="J315" s="88">
        <f>'50 изоляция'!J362*0.9</f>
        <v>3504.303</v>
      </c>
      <c r="K315" s="8">
        <f>'50 изоляция'!K362*0.9</f>
        <v>4075.83</v>
      </c>
      <c r="L315" s="8">
        <f>'50 изоляция'!L362*0.9</f>
        <v>4418.5185</v>
      </c>
      <c r="M315" s="8">
        <f>'50 изоляция'!M362*0.9</f>
        <v>4623.4485</v>
      </c>
    </row>
    <row r="316" ht="19.5" customHeight="1" spans="1:13">
      <c r="A316" s="89" t="s">
        <v>22</v>
      </c>
      <c r="B316" s="8">
        <f>'50 изоляция'!B363*0.9</f>
        <v>1680.426</v>
      </c>
      <c r="C316" s="8">
        <f>'50 изоляция'!C363*0.9</f>
        <v>1706.6115</v>
      </c>
      <c r="D316" s="88">
        <f>'50 изоляция'!D363*0.9</f>
        <v>1771.506</v>
      </c>
      <c r="E316" s="8">
        <f>'50 изоляция'!E363*0.9</f>
        <v>1817.046</v>
      </c>
      <c r="F316" s="8">
        <f>'50 изоляция'!F363*0.9</f>
        <v>1938.8655</v>
      </c>
      <c r="G316" s="88">
        <f>'50 изоляция'!G363*0.9</f>
        <v>2017.422</v>
      </c>
      <c r="H316" s="8">
        <f>'50 изоляция'!H363*0.9</f>
        <v>2060.685</v>
      </c>
      <c r="I316" s="8">
        <f>'50 изоляция'!I363*0.9</f>
        <v>2174.535</v>
      </c>
      <c r="J316" s="88">
        <f>'50 изоляция'!J363*0.9</f>
        <v>2432.9745</v>
      </c>
      <c r="K316" s="8">
        <f>'50 изоляция'!K363*0.9</f>
        <v>2771.109</v>
      </c>
      <c r="L316" s="8">
        <f>'50 изоляция'!L363*0.9</f>
        <v>2972.6235</v>
      </c>
      <c r="M316" s="8">
        <f>'50 изоляция'!M363*0.9</f>
        <v>3094.443</v>
      </c>
    </row>
    <row r="317" ht="19.5" customHeight="1" spans="1:13">
      <c r="A317" s="89" t="s">
        <v>23</v>
      </c>
      <c r="B317" s="8">
        <f>'50 изоляция'!B364*0.9</f>
        <v>5050.386</v>
      </c>
      <c r="C317" s="8">
        <f>'50 изоляция'!C364*0.9</f>
        <v>5388.5205</v>
      </c>
      <c r="D317" s="88">
        <f>'50 изоляция'!D364*0.9</f>
        <v>5924.754</v>
      </c>
      <c r="E317" s="8">
        <f>'50 изоляция'!E364*0.9</f>
        <v>6316.398</v>
      </c>
      <c r="F317" s="8">
        <f>'50 изоляция'!F364*0.9</f>
        <v>6826.446</v>
      </c>
      <c r="G317" s="88">
        <f>'50 изоляция'!G364*0.9</f>
        <v>7509.546</v>
      </c>
      <c r="H317" s="8">
        <f>'50 изоляция'!H364*0.9</f>
        <v>8191.5075</v>
      </c>
      <c r="I317" s="8">
        <f>'50 изоляция'!I364*0.9</f>
        <v>8452.224</v>
      </c>
      <c r="J317" s="88">
        <f>'50 изоляция'!J364*0.9</f>
        <v>9295.8525</v>
      </c>
      <c r="K317" s="8">
        <f>'50 изоляция'!K364*0.9</f>
        <v>11717.442</v>
      </c>
      <c r="L317" s="8">
        <f>'50 изоляция'!L364*0.9</f>
        <v>13171.3065</v>
      </c>
      <c r="M317" s="8">
        <f>'50 изоляция'!M364*0.9</f>
        <v>14140.17</v>
      </c>
    </row>
    <row r="318" ht="19.5" customHeight="1" spans="1:13">
      <c r="A318" s="89" t="s">
        <v>24</v>
      </c>
      <c r="B318" s="8">
        <f>'50 изоляция'!B365*0.9</f>
        <v>4777.146</v>
      </c>
      <c r="C318" s="8">
        <f>'50 изоляция'!C365*0.9</f>
        <v>5115.2805</v>
      </c>
      <c r="D318" s="88">
        <f>'50 изоляция'!D365*0.9</f>
        <v>5651.514</v>
      </c>
      <c r="E318" s="8">
        <f>'50 изоляция'!E365*0.9</f>
        <v>6043.158</v>
      </c>
      <c r="F318" s="8">
        <f>'50 изоляция'!F365*0.9</f>
        <v>6553.206</v>
      </c>
      <c r="G318" s="88">
        <f>'50 изоляция'!G365*0.9</f>
        <v>7236.306</v>
      </c>
      <c r="H318" s="8">
        <f>'50 изоляция'!H365*0.9</f>
        <v>7918.2675</v>
      </c>
      <c r="I318" s="8">
        <f>'50 изоляция'!I365*0.9</f>
        <v>8178.984</v>
      </c>
      <c r="J318" s="88">
        <f>'50 изоляция'!J365*0.9</f>
        <v>9022.6125</v>
      </c>
      <c r="K318" s="8">
        <f>'50 изоляция'!K365*0.9</f>
        <v>11444.202</v>
      </c>
      <c r="L318" s="8">
        <f>'50 изоляция'!L365*0.9</f>
        <v>12898.0665</v>
      </c>
      <c r="M318" s="8">
        <f>'50 изоляция'!M365*0.9</f>
        <v>13866.93</v>
      </c>
    </row>
    <row r="319" ht="19.5" customHeight="1" spans="1:13">
      <c r="A319" s="89" t="s">
        <v>26</v>
      </c>
      <c r="B319" s="8">
        <f>'50 изоляция'!B366*0.9</f>
        <v>5982.8175</v>
      </c>
      <c r="C319" s="8">
        <f>'50 изоляция'!C366*0.9</f>
        <v>6552.0675</v>
      </c>
      <c r="D319" s="88">
        <f>'50 изоляция'!D366*0.9</f>
        <v>7058.7</v>
      </c>
      <c r="E319" s="8">
        <f>'50 изоляция'!E366*0.9</f>
        <v>7602.903</v>
      </c>
      <c r="F319" s="8">
        <f>'50 изоляция'!F366*0.9</f>
        <v>7911.4365</v>
      </c>
      <c r="G319" s="88">
        <f>'50 изоляция'!G366*0.9</f>
        <v>8510.2875</v>
      </c>
      <c r="H319" s="8">
        <f>'50 изоляция'!H366*0.9</f>
        <v>8891.685</v>
      </c>
      <c r="I319" s="8">
        <f>'50 изоляция'!I366*0.9</f>
        <v>9720.513</v>
      </c>
      <c r="J319" s="88">
        <f>'50 изоляция'!J366*0.9</f>
        <v>10783.872</v>
      </c>
      <c r="K319" s="8">
        <f>'50 изоляция'!K366*0.9</f>
        <v>13354.605</v>
      </c>
      <c r="L319" s="8">
        <f>'50 изоляция'!L366*0.9</f>
        <v>14897.2725</v>
      </c>
      <c r="M319" s="8">
        <f>'50 изоляция'!M366*0.9</f>
        <v>15925.338</v>
      </c>
    </row>
    <row r="320" ht="19.5" customHeight="1" spans="1:13">
      <c r="A320" s="89" t="s">
        <v>27</v>
      </c>
      <c r="B320" s="8">
        <f>'50 изоляция'!B367*0.9</f>
        <v>7894.359</v>
      </c>
      <c r="C320" s="8">
        <f>'50 изоляция'!C367*0.9</f>
        <v>8291.6955</v>
      </c>
      <c r="D320" s="88">
        <f>'50 изоляция'!D367*0.9</f>
        <v>8607.06</v>
      </c>
      <c r="E320" s="8">
        <f>'50 изоляция'!E367*0.9</f>
        <v>9106.8615</v>
      </c>
      <c r="F320" s="8">
        <f>'50 изоляция'!F367*0.9</f>
        <v>9626.0175</v>
      </c>
      <c r="G320" s="88">
        <f>'50 изоляция'!G367*0.9</f>
        <v>10421.829</v>
      </c>
      <c r="H320" s="8">
        <f>'50 изоляция'!H367*0.9</f>
        <v>11091.267</v>
      </c>
      <c r="I320" s="8">
        <f>'50 изоляция'!I367*0.9</f>
        <v>12573.594</v>
      </c>
      <c r="J320" s="88">
        <f>'50 изоляция'!J367*0.9</f>
        <v>14842.6245</v>
      </c>
      <c r="K320" s="8">
        <f>'50 изоляция'!K367*0.9</f>
        <v>17971.2225</v>
      </c>
      <c r="L320" s="8">
        <f>'50 изоляция'!L367*0.9</f>
        <v>19848.609</v>
      </c>
      <c r="M320" s="8">
        <f>'50 изоляция'!M367*0.9</f>
        <v>20973.447</v>
      </c>
    </row>
    <row r="321" ht="19.5" customHeight="1" spans="1:13">
      <c r="A321" s="89" t="s">
        <v>70</v>
      </c>
      <c r="B321" s="8">
        <f>'50 изоляция'!B368*0.9</f>
        <v>14094.63</v>
      </c>
      <c r="C321" s="8">
        <f>'50 изоляция'!C368*0.9</f>
        <v>14575.077</v>
      </c>
      <c r="D321" s="88">
        <f>'50 изоляция'!D368*0.9</f>
        <v>14974.6905</v>
      </c>
      <c r="E321" s="8">
        <f>'50 изоляция'!E368*0.9</f>
        <v>15426.675</v>
      </c>
      <c r="F321" s="8">
        <f>'50 изоляция'!F368*0.9</f>
        <v>15934.446</v>
      </c>
      <c r="G321" s="88">
        <f>'50 изоляция'!G368*0.9</f>
        <v>17057.007</v>
      </c>
      <c r="H321" s="8">
        <f>'50 изоляция'!H368*0.9</f>
        <v>17669.52</v>
      </c>
      <c r="I321" s="8">
        <f>'50 изоляция'!I368*0.9</f>
        <v>18992.457</v>
      </c>
      <c r="J321" s="88">
        <f>'50 изоляция'!J368*0.9</f>
        <v>21231.8865</v>
      </c>
      <c r="K321" s="8">
        <f>'50 изоляция'!K368*0.9</f>
        <v>25124.418</v>
      </c>
      <c r="L321" s="8">
        <f>'50 изоляция'!L368*0.9</f>
        <v>27459.4815</v>
      </c>
      <c r="M321" s="8">
        <f>'50 изоляция'!M368*0.9</f>
        <v>28860.975</v>
      </c>
    </row>
    <row r="322" ht="19.5" customHeight="1" spans="1:13">
      <c r="A322" s="89" t="s">
        <v>32</v>
      </c>
      <c r="B322" s="8">
        <f>'50 изоляция'!B369*0.9</f>
        <v>1634.886</v>
      </c>
      <c r="C322" s="8">
        <f>'50 изоляция'!C369*0.9</f>
        <v>1666.764</v>
      </c>
      <c r="D322" s="88">
        <f>'50 изоляция'!D369*0.9</f>
        <v>1776.06</v>
      </c>
      <c r="E322" s="8">
        <f>'50 изоляция'!E369*0.9</f>
        <v>1953.666</v>
      </c>
      <c r="F322" s="8">
        <f>'50 изоляция'!F369*0.9</f>
        <v>2089.1475</v>
      </c>
      <c r="G322" s="88">
        <f>'50 изоляция'!G369*0.9</f>
        <v>2207.5515</v>
      </c>
      <c r="H322" s="8">
        <f>'50 изоляция'!H369*0.9</f>
        <v>2385.1575</v>
      </c>
      <c r="I322" s="8">
        <f>'50 изоляция'!I369*0.9</f>
        <v>2459.16</v>
      </c>
      <c r="J322" s="88">
        <f>'50 изоляция'!J369*0.9</f>
        <v>2732.4</v>
      </c>
      <c r="K322" s="8">
        <f>'50 изоляция'!K369*0.9</f>
        <v>3106.9665</v>
      </c>
      <c r="L322" s="8">
        <f>'50 изоляция'!L369*0.9</f>
        <v>3331.251</v>
      </c>
      <c r="M322" s="8">
        <f>'50 изоляция'!M369*0.9</f>
        <v>3465.594</v>
      </c>
    </row>
    <row r="323" ht="19.5" customHeight="1" spans="1:13">
      <c r="A323" s="89" t="s">
        <v>81</v>
      </c>
      <c r="B323" s="8">
        <f>'50 изоляция'!B370*0.9</f>
        <v>4575.6315</v>
      </c>
      <c r="C323" s="8">
        <f>'50 изоляция'!C370*0.9</f>
        <v>4769.1765</v>
      </c>
      <c r="D323" s="88">
        <f>'50 изоляция'!D370*0.9</f>
        <v>4835.2095</v>
      </c>
      <c r="E323" s="8">
        <f>'50 изоляция'!E370*0.9</f>
        <v>5049.2475</v>
      </c>
      <c r="F323" s="8">
        <f>'50 изоляция'!F370*0.9</f>
        <v>5279.2245</v>
      </c>
      <c r="G323" s="88">
        <f>'50 изоляция'!G370*0.9</f>
        <v>5832.5355</v>
      </c>
      <c r="H323" s="8">
        <f>'50 изоляция'!H370*0.9</f>
        <v>6225.318</v>
      </c>
      <c r="I323" s="8">
        <f>'50 изоляция'!I370*0.9</f>
        <v>6843.5235</v>
      </c>
      <c r="J323" s="88">
        <f>'50 изоляция'!J370*0.9</f>
        <v>7657.551</v>
      </c>
      <c r="K323" s="8">
        <f>'50 изоляция'!K370*0.9</f>
        <v>9414.2565</v>
      </c>
      <c r="L323" s="8">
        <f>'50 изоляция'!L370*0.9</f>
        <v>10469.646</v>
      </c>
      <c r="M323" s="8">
        <f>'50 изоляция'!M370*0.9</f>
        <v>11101.5135</v>
      </c>
    </row>
    <row r="324" ht="19.5" customHeight="1" spans="1:13">
      <c r="A324" s="89" t="s">
        <v>82</v>
      </c>
      <c r="B324" s="8">
        <f>'50 изоляция'!B371*0.9</f>
        <v>5941.8315</v>
      </c>
      <c r="C324" s="8">
        <f>'50 изоляция'!C371*0.9</f>
        <v>6135.3765</v>
      </c>
      <c r="D324" s="88">
        <f>'50 изоляция'!D371*0.9</f>
        <v>6201.4095</v>
      </c>
      <c r="E324" s="8">
        <f>'50 изоляция'!E371*0.9</f>
        <v>6415.4475</v>
      </c>
      <c r="F324" s="8">
        <f>'50 изоляция'!F371*0.9</f>
        <v>6645.4245</v>
      </c>
      <c r="G324" s="88">
        <f>'50 изоляция'!G371*0.9</f>
        <v>7198.7355</v>
      </c>
      <c r="H324" s="8">
        <f>'50 изоляция'!H371*0.9</f>
        <v>7591.518</v>
      </c>
      <c r="I324" s="8">
        <f>'50 изоляция'!I371*0.9</f>
        <v>8209.7235</v>
      </c>
      <c r="J324" s="88">
        <f>'50 изоляция'!J371*0.9</f>
        <v>9023.751</v>
      </c>
      <c r="K324" s="8">
        <f>'50 изоляция'!K371*0.9</f>
        <v>10780.4565</v>
      </c>
      <c r="L324" s="8">
        <f>'50 изоляция'!L371*0.9</f>
        <v>11835.846</v>
      </c>
      <c r="M324" s="8">
        <f>'50 изоляция'!M371*0.9</f>
        <v>12467.7135</v>
      </c>
    </row>
    <row r="325" ht="19.5" customHeight="1" spans="1:13">
      <c r="A325" s="89" t="s">
        <v>39</v>
      </c>
      <c r="B325" s="8">
        <f>'50 изоляция'!B372*0.9</f>
        <v>4098.6</v>
      </c>
      <c r="C325" s="8">
        <f>'50 изоляция'!C372*0.9</f>
        <v>4632.5565</v>
      </c>
      <c r="D325" s="88">
        <f>'50 изоляция'!D372*0.9</f>
        <v>4698.5895</v>
      </c>
      <c r="E325" s="8">
        <f>'50 изоляция'!E372*0.9</f>
        <v>4912.6275</v>
      </c>
      <c r="F325" s="8">
        <f>'50 изоляция'!F372*0.9</f>
        <v>5142.6045</v>
      </c>
      <c r="G325" s="88">
        <f>'50 изоляция'!G372*0.9</f>
        <v>5559.2955</v>
      </c>
      <c r="H325" s="8">
        <f>'50 изоляция'!H372*0.9</f>
        <v>5815.458</v>
      </c>
      <c r="I325" s="8">
        <f>'50 изоляция'!I372*0.9</f>
        <v>6297.0435</v>
      </c>
      <c r="J325" s="88">
        <f>'50 изоляция'!J372*0.9</f>
        <v>6969.897</v>
      </c>
      <c r="K325" s="8">
        <f>'50 изоляция'!K372*0.9</f>
        <v>8594.5365</v>
      </c>
      <c r="L325" s="8">
        <f>'50 изоляция'!L372*0.9</f>
        <v>9569.0925</v>
      </c>
      <c r="M325" s="8">
        <f>'50 изоляция'!M372*0.9</f>
        <v>10153.143</v>
      </c>
    </row>
    <row r="326" ht="19.5" customHeight="1" spans="1:1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</row>
    <row r="327" ht="19.5" customHeight="1" spans="1:13">
      <c r="A327" s="120" t="s">
        <v>35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9.5" customHeight="1" spans="1:1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83" t="s">
        <v>99</v>
      </c>
    </row>
    <row r="329" ht="19.5" customHeight="1" spans="1:13">
      <c r="A329" s="35"/>
      <c r="B329" s="35"/>
      <c r="C329" s="35"/>
      <c r="D329" s="35"/>
      <c r="E329" s="35"/>
      <c r="F329" s="35"/>
      <c r="G329" s="35"/>
      <c r="H329" s="35"/>
      <c r="I329" s="35"/>
      <c r="J329" s="35"/>
    </row>
    <row r="330" ht="19.5" customHeight="1" spans="1:13">
      <c r="A330" s="92" t="s">
        <v>124</v>
      </c>
      <c r="B330" s="35"/>
      <c r="C330" s="35"/>
      <c r="D330" s="35"/>
      <c r="E330" s="35"/>
      <c r="F330" s="35"/>
      <c r="G330" s="35"/>
      <c r="H330" s="35"/>
      <c r="I330" s="35"/>
      <c r="J330" s="35"/>
    </row>
    <row r="331" ht="19.5" customHeight="1" spans="1:13">
      <c r="A331" s="92" t="s">
        <v>101</v>
      </c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</row>
    <row r="332" ht="19.5" customHeight="1" spans="1:13">
      <c r="A332" s="92" t="s">
        <v>102</v>
      </c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</row>
    <row r="333" ht="27" customHeight="1" spans="1:13">
      <c r="A333" s="17"/>
      <c r="B333" s="86" t="s">
        <v>103</v>
      </c>
      <c r="C333" s="86" t="s">
        <v>104</v>
      </c>
      <c r="D333" s="86" t="s">
        <v>105</v>
      </c>
      <c r="E333" s="86" t="s">
        <v>106</v>
      </c>
      <c r="F333" s="86" t="s">
        <v>107</v>
      </c>
      <c r="G333" s="86" t="s">
        <v>108</v>
      </c>
      <c r="H333" s="86" t="s">
        <v>109</v>
      </c>
      <c r="I333" s="86" t="s">
        <v>110</v>
      </c>
      <c r="J333" s="86" t="s">
        <v>111</v>
      </c>
      <c r="K333" s="86" t="s">
        <v>112</v>
      </c>
      <c r="L333" s="86" t="s">
        <v>113</v>
      </c>
      <c r="M333" s="86" t="s">
        <v>114</v>
      </c>
    </row>
    <row r="334" ht="19.5" customHeight="1" spans="1:13">
      <c r="A334" s="89" t="s">
        <v>68</v>
      </c>
      <c r="B334" s="8">
        <f>'50 изоляция'!B428*0.9</f>
        <v>3114.54</v>
      </c>
      <c r="C334" s="8">
        <f>'50 изоляция'!C428*0.9</f>
        <v>3326.895</v>
      </c>
      <c r="D334" s="88">
        <f>'50 изоляция'!D428*0.9</f>
        <v>3595.878</v>
      </c>
      <c r="E334" s="8">
        <f>'50 изоляция'!E428*0.9</f>
        <v>3740.715</v>
      </c>
      <c r="F334" s="8">
        <f>'50 изоляция'!F428*0.9</f>
        <v>4105.53</v>
      </c>
      <c r="G334" s="88">
        <f>'50 изоляция'!G428*0.9</f>
        <v>4394.115</v>
      </c>
      <c r="H334" s="8">
        <f>'50 изоляция'!H428*0.9</f>
        <v>4671.81</v>
      </c>
      <c r="I334" s="8">
        <f>'50 изоляция'!I428*0.9</f>
        <v>5026.824</v>
      </c>
      <c r="J334" s="88">
        <f>'50 изоляция'!J428*0.9</f>
        <v>5682.402</v>
      </c>
      <c r="K334" s="8">
        <f>'50 изоляция'!K428*0.9</f>
        <v>6671.214</v>
      </c>
      <c r="L334" s="8">
        <f>'50 изоляция'!L428*0.9</f>
        <v>7263.63</v>
      </c>
      <c r="M334" s="8">
        <f>'50 изоляция'!M428*0.9</f>
        <v>7658.937</v>
      </c>
    </row>
    <row r="335" ht="19.5" customHeight="1" spans="1:13">
      <c r="A335" s="89" t="s">
        <v>18</v>
      </c>
      <c r="B335" s="8">
        <f>'50 изоляция'!B429*0.9</f>
        <v>2657.16</v>
      </c>
      <c r="C335" s="8">
        <f>'50 изоляция'!C429*0.9</f>
        <v>2831.4</v>
      </c>
      <c r="D335" s="88">
        <f>'50 изоляция'!D429*0.9</f>
        <v>3038.31</v>
      </c>
      <c r="E335" s="8">
        <f>'50 изоляция'!E429*0.9</f>
        <v>3287.691</v>
      </c>
      <c r="F335" s="8">
        <f>'50 изоляция'!F429*0.9</f>
        <v>3512.025</v>
      </c>
      <c r="G335" s="88">
        <f>'50 изоляция'!G429*0.9</f>
        <v>3690.621</v>
      </c>
      <c r="H335" s="8">
        <f>'50 изоляция'!H429*0.9</f>
        <v>3789.72</v>
      </c>
      <c r="I335" s="8">
        <f>'50 изоляция'!I429*0.9</f>
        <v>4047.813</v>
      </c>
      <c r="J335" s="88">
        <f>'50 изоляция'!J429*0.9</f>
        <v>4547.664</v>
      </c>
      <c r="K335" s="8">
        <f>'50 изоляция'!K429*0.9</f>
        <v>5295.807</v>
      </c>
      <c r="L335" s="8">
        <f>'50 изоляция'!L429*0.9</f>
        <v>5744.475</v>
      </c>
      <c r="M335" s="8">
        <f>'50 изоляция'!M429*0.9</f>
        <v>6045.039</v>
      </c>
    </row>
    <row r="336" ht="19.5" customHeight="1" spans="1:13">
      <c r="A336" s="89" t="s">
        <v>19</v>
      </c>
      <c r="B336" s="8">
        <f>'50 изоляция'!B430*0.9</f>
        <v>2179.089</v>
      </c>
      <c r="C336" s="8">
        <f>'50 изоляция'!C430*0.9</f>
        <v>2326.104</v>
      </c>
      <c r="D336" s="88">
        <f>'50 изоляция'!D430*0.9</f>
        <v>2478.564</v>
      </c>
      <c r="E336" s="8">
        <f>'50 изоляция'!E430*0.9</f>
        <v>2693.097</v>
      </c>
      <c r="F336" s="8">
        <f>'50 изоляция'!F430*0.9</f>
        <v>2842.29</v>
      </c>
      <c r="G336" s="88">
        <f>'50 изоляция'!G430*0.9</f>
        <v>3113.451</v>
      </c>
      <c r="H336" s="8">
        <f>'50 изоляция'!H430*0.9</f>
        <v>3179.88</v>
      </c>
      <c r="I336" s="8">
        <f>'50 изоляция'!I430*0.9</f>
        <v>3350.853</v>
      </c>
      <c r="J336" s="88">
        <f>'50 изоляция'!J430*0.9</f>
        <v>3694.977</v>
      </c>
      <c r="K336" s="8">
        <f>'50 изоляция'!K430*0.9</f>
        <v>4203.54</v>
      </c>
      <c r="L336" s="8">
        <f>'50 изоляция'!L430*0.9</f>
        <v>4507.371</v>
      </c>
      <c r="M336" s="8">
        <f>'50 изоляция'!M430*0.9</f>
        <v>4711.014</v>
      </c>
    </row>
    <row r="337" ht="19.5" customHeight="1" spans="1:13">
      <c r="A337" s="89" t="s">
        <v>20</v>
      </c>
      <c r="B337" s="8">
        <f>'50 изоляция'!B431*0.9</f>
        <v>1806.651</v>
      </c>
      <c r="C337" s="8">
        <f>'50 изоляция'!C431*0.9</f>
        <v>1992.87</v>
      </c>
      <c r="D337" s="88">
        <f>'50 изоляция'!D431*0.9</f>
        <v>2102.859</v>
      </c>
      <c r="E337" s="8">
        <f>'50 изоляция'!E431*0.9</f>
        <v>2173.644</v>
      </c>
      <c r="F337" s="8">
        <f>'50 изоляция'!F431*0.9</f>
        <v>2374.02</v>
      </c>
      <c r="G337" s="88">
        <f>'50 изоляция'!G431*0.9</f>
        <v>2488.365</v>
      </c>
      <c r="H337" s="8">
        <f>'50 изоляция'!H431*0.9</f>
        <v>2539.548</v>
      </c>
      <c r="I337" s="8">
        <f>'50 изоляция'!I431*0.9</f>
        <v>2727.945</v>
      </c>
      <c r="J337" s="88">
        <f>'50 изоляция'!J431*0.9</f>
        <v>2981.682</v>
      </c>
      <c r="K337" s="8">
        <f>'50 изоляция'!K431*0.9</f>
        <v>3651.417</v>
      </c>
      <c r="L337" s="8">
        <f>'50 изоляция'!L431*0.9</f>
        <v>3968.316</v>
      </c>
      <c r="M337" s="8">
        <f>'50 изоляция'!M431*0.9</f>
        <v>4157.802</v>
      </c>
    </row>
    <row r="338" ht="19.5" customHeight="1" spans="1:13">
      <c r="A338" s="89" t="s">
        <v>21</v>
      </c>
      <c r="B338" s="8">
        <f>'50 изоляция'!B432*0.9</f>
        <v>1452.726</v>
      </c>
      <c r="C338" s="8">
        <f>'50 изоляция'!C432*0.9</f>
        <v>1614.987</v>
      </c>
      <c r="D338" s="88">
        <f>'50 изоляция'!D432*0.9</f>
        <v>1689.039</v>
      </c>
      <c r="E338" s="8">
        <f>'50 изоляция'!E432*0.9</f>
        <v>1738.044</v>
      </c>
      <c r="F338" s="8">
        <f>'50 изоляция'!F432*0.9</f>
        <v>1879.614</v>
      </c>
      <c r="G338" s="88">
        <f>'50 изоляция'!G432*0.9</f>
        <v>2112.66</v>
      </c>
      <c r="H338" s="8">
        <f>'50 изоляция'!H432*0.9</f>
        <v>2146.419</v>
      </c>
      <c r="I338" s="8">
        <f>'50 изоляция'!I432*0.9</f>
        <v>2274.921</v>
      </c>
      <c r="J338" s="88">
        <f>'50 изоляция'!J432*0.9</f>
        <v>2558.061</v>
      </c>
      <c r="K338" s="8">
        <f>'50 изоляция'!K432*0.9</f>
        <v>2943.567</v>
      </c>
      <c r="L338" s="8">
        <f>'50 изоляция'!L432*0.9</f>
        <v>3174.435</v>
      </c>
      <c r="M338" s="8">
        <f>'50 изоляция'!M432*0.9</f>
        <v>3312.738</v>
      </c>
    </row>
    <row r="339" ht="19.5" customHeight="1" spans="1:13">
      <c r="A339" s="89" t="s">
        <v>22</v>
      </c>
      <c r="B339" s="8">
        <f>'50 изоляция'!B433*0.9</f>
        <v>1217.502</v>
      </c>
      <c r="C339" s="8">
        <f>'50 изоляция'!C433*0.9</f>
        <v>1372.14</v>
      </c>
      <c r="D339" s="88">
        <f>'50 изоляция'!D433*0.9</f>
        <v>1415.7</v>
      </c>
      <c r="E339" s="8">
        <f>'50 изоляция'!E433*0.9</f>
        <v>1447.281</v>
      </c>
      <c r="F339" s="8">
        <f>'50 изоляция'!F433*0.9</f>
        <v>1532.223</v>
      </c>
      <c r="G339" s="88">
        <f>'50 изоляция'!G433*0.9</f>
        <v>1596.474</v>
      </c>
      <c r="H339" s="8">
        <f>'50 изоляция'!H433*0.9</f>
        <v>1618.254</v>
      </c>
      <c r="I339" s="8">
        <f>'50 изоляция'!I433*0.9</f>
        <v>1695.573</v>
      </c>
      <c r="J339" s="88">
        <f>'50 изоляция'!J433*0.9</f>
        <v>1877.436</v>
      </c>
      <c r="K339" s="8">
        <f>'50 изоляция'!K433*0.9</f>
        <v>2112.66</v>
      </c>
      <c r="L339" s="8">
        <f>'50 изоляция'!L433*0.9</f>
        <v>2254.23</v>
      </c>
      <c r="M339" s="8">
        <f>'50 изоляция'!M433*0.9</f>
        <v>2336.994</v>
      </c>
    </row>
    <row r="340" ht="19.5" customHeight="1" spans="1:13">
      <c r="A340" s="89" t="s">
        <v>23</v>
      </c>
      <c r="B340" s="8">
        <f>'50 изоляция'!B434*0.9</f>
        <v>3581.721</v>
      </c>
      <c r="C340" s="8">
        <f>'50 изоляция'!C434*0.9</f>
        <v>3789.72</v>
      </c>
      <c r="D340" s="88">
        <f>'50 изоляция'!D434*0.9</f>
        <v>3999.897</v>
      </c>
      <c r="E340" s="8">
        <f>'50 изоляция'!E434*0.9</f>
        <v>4223.142</v>
      </c>
      <c r="F340" s="8">
        <f>'50 изоляция'!F434*0.9</f>
        <v>4293.927</v>
      </c>
      <c r="G340" s="88">
        <f>'50 изоляция'!G434*0.9</f>
        <v>4506.282</v>
      </c>
      <c r="H340" s="8">
        <f>'50 изоляция'!H434*0.9</f>
        <v>4884.165</v>
      </c>
      <c r="I340" s="8">
        <f>'50 изоляция'!I434*0.9</f>
        <v>5450.445</v>
      </c>
      <c r="J340" s="88">
        <f>'50 изоляция'!J434*0.9</f>
        <v>6420.744</v>
      </c>
      <c r="K340" s="8">
        <f>'50 изоляция'!K434*0.9</f>
        <v>7866.936</v>
      </c>
      <c r="L340" s="8">
        <f>'50 изоляция'!L434*0.9</f>
        <v>8734.869</v>
      </c>
      <c r="M340" s="8">
        <f>'50 изоляция'!M434*0.9</f>
        <v>9314.217</v>
      </c>
    </row>
    <row r="341" ht="19.5" customHeight="1" spans="1:13">
      <c r="A341" s="89" t="s">
        <v>24</v>
      </c>
      <c r="B341" s="8">
        <f>'50 изоляция'!B435*0.9</f>
        <v>3298.581</v>
      </c>
      <c r="C341" s="8">
        <f>'50 изоляция'!C435*0.9</f>
        <v>3506.58</v>
      </c>
      <c r="D341" s="88">
        <f>'50 изоляция'!D435*0.9</f>
        <v>3716.757</v>
      </c>
      <c r="E341" s="8">
        <f>'50 изоляция'!E435*0.9</f>
        <v>3940.002</v>
      </c>
      <c r="F341" s="8">
        <f>'50 изоляция'!F435*0.9</f>
        <v>4010.787</v>
      </c>
      <c r="G341" s="88">
        <f>'50 изоляция'!G435*0.9</f>
        <v>4223.142</v>
      </c>
      <c r="H341" s="8">
        <f>'50 изоляция'!H435*0.9</f>
        <v>4601.025</v>
      </c>
      <c r="I341" s="8">
        <f>'50 изоляция'!I435*0.9</f>
        <v>5167.305</v>
      </c>
      <c r="J341" s="88">
        <f>'50 изоляция'!J435*0.9</f>
        <v>6137.604</v>
      </c>
      <c r="K341" s="8">
        <f>'50 изоляция'!K435*0.9</f>
        <v>7583.796</v>
      </c>
      <c r="L341" s="8">
        <f>'50 изоляция'!L435*0.9</f>
        <v>8451.729</v>
      </c>
      <c r="M341" s="8">
        <f>'50 изоляция'!M435*0.9</f>
        <v>9031.077</v>
      </c>
    </row>
    <row r="342" ht="19.5" customHeight="1" spans="1:13">
      <c r="A342" s="89" t="s">
        <v>26</v>
      </c>
      <c r="B342" s="8">
        <f>'50 изоляция'!B436*0.9</f>
        <v>5111.766</v>
      </c>
      <c r="C342" s="8">
        <f>'50 изоляция'!C436*0.9</f>
        <v>5313.231</v>
      </c>
      <c r="D342" s="88">
        <f>'50 изоляция'!D436*0.9</f>
        <v>5615.973</v>
      </c>
      <c r="E342" s="8">
        <f>'50 изоляция'!E436*0.9</f>
        <v>6176.808</v>
      </c>
      <c r="F342" s="8">
        <f>'50 изоляция'!F436*0.9</f>
        <v>6437.079</v>
      </c>
      <c r="G342" s="88">
        <f>'50 изоляция'!G436*0.9</f>
        <v>6881.391</v>
      </c>
      <c r="H342" s="8">
        <f>'50 изоляция'!H436*0.9</f>
        <v>7282.143</v>
      </c>
      <c r="I342" s="8">
        <f>'50 изоляция'!I436*0.9</f>
        <v>8127.207</v>
      </c>
      <c r="J342" s="88">
        <f>'50 изоляция'!J436*0.9</f>
        <v>8685.864</v>
      </c>
      <c r="K342" s="8">
        <f>'50 изоляция'!K436*0.9</f>
        <v>10724.472</v>
      </c>
      <c r="L342" s="8">
        <f>'50 изоляция'!L436*0.9</f>
        <v>11947.419</v>
      </c>
      <c r="M342" s="8">
        <f>'50 изоляция'!M436*0.9</f>
        <v>12763.08</v>
      </c>
    </row>
    <row r="343" ht="19.5" customHeight="1" spans="1:13">
      <c r="A343" s="89" t="s">
        <v>27</v>
      </c>
      <c r="B343" s="8">
        <f>'50 изоляция'!B437*0.9</f>
        <v>6624.387</v>
      </c>
      <c r="C343" s="8">
        <f>'50 изоляция'!C437*0.9</f>
        <v>6806.25</v>
      </c>
      <c r="D343" s="88">
        <f>'50 изоляция'!D437*0.9</f>
        <v>7098.102</v>
      </c>
      <c r="E343" s="8">
        <f>'50 изоляция'!E437*0.9</f>
        <v>7743.879</v>
      </c>
      <c r="F343" s="8">
        <f>'50 изоляция'!F437*0.9</f>
        <v>7988.904</v>
      </c>
      <c r="G343" s="88">
        <f>'50 изоляция'!G437*0.9</f>
        <v>8863.371</v>
      </c>
      <c r="H343" s="8">
        <f>'50 изоляция'!H437*0.9</f>
        <v>9591.912</v>
      </c>
      <c r="I343" s="8">
        <f>'50 изоляция'!I437*0.9</f>
        <v>10433.709</v>
      </c>
      <c r="J343" s="88">
        <f>'50 изоляция'!J437*0.9</f>
        <v>12180.465</v>
      </c>
      <c r="K343" s="8">
        <f>'50 изоляция'!K437*0.9</f>
        <v>14269.167</v>
      </c>
      <c r="L343" s="8">
        <f>'50 изоляция'!L437*0.9</f>
        <v>15521.517</v>
      </c>
      <c r="M343" s="8">
        <f>'50 изоляция'!M437*0.9</f>
        <v>16274.016</v>
      </c>
    </row>
    <row r="344" ht="19.5" customHeight="1" spans="1:13">
      <c r="A344" s="89" t="s">
        <v>70</v>
      </c>
      <c r="B344" s="8">
        <f>'50 изоляция'!B438*0.9</f>
        <v>12301.344</v>
      </c>
      <c r="C344" s="8">
        <f>'50 изоляция'!C438*0.9</f>
        <v>12684.672</v>
      </c>
      <c r="D344" s="88">
        <f>'50 изоляция'!D438*0.9</f>
        <v>13007.016</v>
      </c>
      <c r="E344" s="8">
        <f>'50 изоляция'!E438*0.9</f>
        <v>13368.564</v>
      </c>
      <c r="F344" s="8">
        <f>'50 изоляция'!F438*0.9</f>
        <v>13774.761</v>
      </c>
      <c r="G344" s="88">
        <f>'50 изоляция'!G438*0.9</f>
        <v>14699.322</v>
      </c>
      <c r="H344" s="8">
        <f>'50 изоляция'!H438*0.9</f>
        <v>15189.372</v>
      </c>
      <c r="I344" s="8">
        <f>'50 изоляция'!I438*0.9</f>
        <v>16245.702</v>
      </c>
      <c r="J344" s="88">
        <f>'50 изоляция'!J438*0.9</f>
        <v>18218.97</v>
      </c>
      <c r="K344" s="8">
        <f>'50 изоляция'!K438*0.9</f>
        <v>21483.792</v>
      </c>
      <c r="L344" s="8">
        <f>'50 изоляция'!L438*0.9</f>
        <v>23442.903</v>
      </c>
      <c r="M344" s="8">
        <f>'50 изоляция'!M438*0.9</f>
        <v>14440.14</v>
      </c>
    </row>
    <row r="345" ht="19.5" customHeight="1" spans="1:13">
      <c r="A345" s="89" t="s">
        <v>32</v>
      </c>
      <c r="B345" s="8">
        <f>'50 изоляция'!B439*0.9</f>
        <v>1397.187</v>
      </c>
      <c r="C345" s="8">
        <f>'50 изоляция'!C439*0.9</f>
        <v>1426.59</v>
      </c>
      <c r="D345" s="88">
        <f>'50 изоляция'!D439*0.9</f>
        <v>1528.956</v>
      </c>
      <c r="E345" s="8">
        <f>'50 изоляция'!E439*0.9</f>
        <v>1694.484</v>
      </c>
      <c r="F345" s="8">
        <f>'50 изоляция'!F439*0.9</f>
        <v>1820.808</v>
      </c>
      <c r="G345" s="88">
        <f>'50 изоляция'!G439*0.9</f>
        <v>1930.797</v>
      </c>
      <c r="H345" s="8">
        <f>'50 изоляция'!H439*0.9</f>
        <v>2096.325</v>
      </c>
      <c r="I345" s="8">
        <f>'50 изоляция'!I439*0.9</f>
        <v>2166.021</v>
      </c>
      <c r="J345" s="88">
        <f>'50 изоляция'!J439*0.9</f>
        <v>2420.847</v>
      </c>
      <c r="K345" s="8">
        <f>'50 изоляция'!K439*0.9</f>
        <v>2770.416</v>
      </c>
      <c r="L345" s="8">
        <f>'50 изоляция'!L439*0.9</f>
        <v>2980.593</v>
      </c>
      <c r="M345" s="8">
        <f>'50 изоляция'!M439*0.9</f>
        <v>3104.739</v>
      </c>
    </row>
    <row r="346" ht="19.5" customHeight="1" spans="1:13">
      <c r="A346" s="89" t="s">
        <v>72</v>
      </c>
      <c r="B346" s="8">
        <f>'50 изоляция'!B440*0.9</f>
        <v>4165.425</v>
      </c>
      <c r="C346" s="8">
        <f>'50 изоляция'!C440*0.9</f>
        <v>4290.66</v>
      </c>
      <c r="D346" s="88">
        <f>'50 изоляция'!D440*0.9</f>
        <v>4342.932</v>
      </c>
      <c r="E346" s="8">
        <f>'50 изоляция'!E440*0.9</f>
        <v>4510.638</v>
      </c>
      <c r="F346" s="8">
        <f>'50 изоляция'!F440*0.9</f>
        <v>4658.742</v>
      </c>
      <c r="G346" s="88">
        <f>'50 изоляция'!G440*0.9</f>
        <v>5015.934</v>
      </c>
      <c r="H346" s="8">
        <f>'50 изоляция'!H440*0.9</f>
        <v>5181.462</v>
      </c>
      <c r="I346" s="8">
        <f>'50 изоляция'!I440*0.9</f>
        <v>5544.099</v>
      </c>
      <c r="J346" s="88">
        <f>'50 изоляция'!J440*0.9</f>
        <v>6223.635</v>
      </c>
      <c r="K346" s="8">
        <f>'50 изоляция'!K440*0.9</f>
        <v>7507.566</v>
      </c>
      <c r="L346" s="8">
        <f>'50 изоляция'!L440*0.9</f>
        <v>8277.489</v>
      </c>
      <c r="M346" s="8">
        <f>'50 изоляция'!M440*0.9</f>
        <v>8740.314</v>
      </c>
    </row>
    <row r="347" ht="19.5" customHeight="1" spans="1:13">
      <c r="A347" s="89" t="s">
        <v>73</v>
      </c>
      <c r="B347" s="8">
        <f>'50 изоляция'!B441*0.9</f>
        <v>1571.427</v>
      </c>
      <c r="C347" s="8">
        <f>'50 изоляция'!C441*0.9</f>
        <v>1622.61</v>
      </c>
      <c r="D347" s="88">
        <f>'50 изоляция'!D441*0.9</f>
        <v>1718.442</v>
      </c>
      <c r="E347" s="8">
        <f>'50 изоляция'!E441*0.9</f>
        <v>1902.483</v>
      </c>
      <c r="F347" s="8">
        <f>'50 изоляция'!F441*0.9</f>
        <v>1978.713</v>
      </c>
      <c r="G347" s="88">
        <f>'50 изоляция'!G441*0.9</f>
        <v>2204.136</v>
      </c>
      <c r="H347" s="8">
        <f>'50 изоляция'!H441*0.9</f>
        <v>2406.69</v>
      </c>
      <c r="I347" s="8">
        <f>'50 изоляция'!I441*0.9</f>
        <v>2755.17</v>
      </c>
      <c r="J347" s="88">
        <f>'50 изоляция'!J441*0.9</f>
        <v>2981.682</v>
      </c>
      <c r="K347" s="8">
        <f>'50 изоляция'!K441*0.9</f>
        <v>3529.449</v>
      </c>
      <c r="L347" s="8">
        <f>'50 изоляция'!L441*0.9</f>
        <v>3858.327</v>
      </c>
      <c r="M347" s="8">
        <f>'50 изоляция'!M441*0.9</f>
        <v>4056.525</v>
      </c>
    </row>
    <row r="348" ht="19.5" customHeight="1" spans="1:13">
      <c r="A348" s="89" t="s">
        <v>74</v>
      </c>
      <c r="B348" s="8">
        <f>'50 изоляция'!B442*0.9</f>
        <v>2070.189</v>
      </c>
      <c r="C348" s="8">
        <f>'50 изоляция'!C442*0.9</f>
        <v>2142.063</v>
      </c>
      <c r="D348" s="88">
        <f>'50 изоляция'!D442*0.9</f>
        <v>2392.533</v>
      </c>
      <c r="E348" s="8">
        <f>'50 изоляция'!E442*0.9</f>
        <v>2452.428</v>
      </c>
      <c r="F348" s="8">
        <f>'50 изоляция'!F442*0.9</f>
        <v>2619.045</v>
      </c>
      <c r="G348" s="88">
        <f>'50 изоляция'!G442*0.9</f>
        <v>3019.797</v>
      </c>
      <c r="H348" s="8">
        <f>'50 изоляция'!H442*0.9</f>
        <v>3170.079</v>
      </c>
      <c r="I348" s="8">
        <f>'50 изоляция'!I442*0.9</f>
        <v>3481.533</v>
      </c>
      <c r="J348" s="88">
        <f>'50 изоляция'!J442*0.9</f>
        <v>3732.003</v>
      </c>
      <c r="K348" s="8">
        <f>'50 изоляция'!K442*0.9</f>
        <v>4543.308</v>
      </c>
      <c r="L348" s="8">
        <f>'50 изоляция'!L442*0.9</f>
        <v>5030.091</v>
      </c>
      <c r="M348" s="8">
        <f>'50 изоляция'!M442*0.9</f>
        <v>5321.943</v>
      </c>
    </row>
    <row r="349" ht="19.5" customHeight="1" spans="1:1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</row>
    <row r="350" ht="19.5" customHeight="1" spans="1:13">
      <c r="A350" s="120" t="s">
        <v>35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9.5" customHeight="1" spans="1:1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83" t="s">
        <v>99</v>
      </c>
    </row>
    <row r="352" ht="19.5" customHeight="1" spans="1:13">
      <c r="A352" s="35"/>
      <c r="B352" s="35"/>
      <c r="C352" s="35"/>
      <c r="D352" s="35"/>
      <c r="E352" s="35"/>
      <c r="F352" s="35"/>
      <c r="G352" s="35"/>
      <c r="H352" s="35"/>
      <c r="I352" s="35"/>
      <c r="J352" s="35"/>
    </row>
    <row r="353" ht="19.5" customHeight="1" spans="1:13">
      <c r="A353" s="92" t="s">
        <v>125</v>
      </c>
      <c r="B353" s="35"/>
      <c r="C353" s="35"/>
      <c r="D353" s="35"/>
      <c r="E353" s="35"/>
      <c r="F353" s="35"/>
      <c r="G353" s="35"/>
      <c r="H353" s="35"/>
      <c r="I353" s="35"/>
      <c r="J353" s="35"/>
    </row>
    <row r="354" ht="19.5" customHeight="1" spans="1:13">
      <c r="A354" s="92" t="s">
        <v>101</v>
      </c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</row>
    <row r="355" ht="19.5" customHeight="1" spans="1:13">
      <c r="A355" s="92" t="s">
        <v>102</v>
      </c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</row>
    <row r="356" ht="27" customHeight="1" spans="1:13">
      <c r="A356" s="17"/>
      <c r="B356" s="86" t="s">
        <v>103</v>
      </c>
      <c r="C356" s="86" t="s">
        <v>104</v>
      </c>
      <c r="D356" s="86" t="s">
        <v>105</v>
      </c>
      <c r="E356" s="86" t="s">
        <v>106</v>
      </c>
      <c r="F356" s="86" t="s">
        <v>107</v>
      </c>
      <c r="G356" s="86" t="s">
        <v>108</v>
      </c>
      <c r="H356" s="86" t="s">
        <v>109</v>
      </c>
      <c r="I356" s="86" t="s">
        <v>110</v>
      </c>
      <c r="J356" s="86" t="s">
        <v>111</v>
      </c>
      <c r="K356" s="86" t="s">
        <v>112</v>
      </c>
      <c r="L356" s="86" t="s">
        <v>113</v>
      </c>
      <c r="M356" s="86" t="s">
        <v>114</v>
      </c>
    </row>
    <row r="357" ht="19.5" customHeight="1" spans="1:13">
      <c r="A357" s="89" t="s">
        <v>68</v>
      </c>
      <c r="B357" s="8">
        <f>'50 изоляция'!B451*0.9</f>
        <v>3751.605</v>
      </c>
      <c r="C357" s="8">
        <f>'50 изоляция'!C451*0.9</f>
        <v>3935.646</v>
      </c>
      <c r="D357" s="88">
        <f>'50 изоляция'!D451*0.9</f>
        <v>4272.147</v>
      </c>
      <c r="E357" s="8">
        <f>'50 изоляция'!E451*0.9</f>
        <v>4771.998</v>
      </c>
      <c r="F357" s="8">
        <f>'50 изоляция'!F451*0.9</f>
        <v>4954.95</v>
      </c>
      <c r="G357" s="88">
        <f>'50 изоляция'!G451*0.9</f>
        <v>5085.63</v>
      </c>
      <c r="H357" s="8">
        <f>'50 изоляция'!H451*0.9</f>
        <v>6163.74</v>
      </c>
      <c r="I357" s="8">
        <f>'50 изоляция'!I451*0.9</f>
        <v>6473.016</v>
      </c>
      <c r="J357" s="88">
        <f>'50 изоляция'!J451*0.9</f>
        <v>6789.915</v>
      </c>
      <c r="K357" s="8">
        <f>'50 изоляция'!K451*0.9</f>
        <v>8635.77</v>
      </c>
      <c r="L357" s="8">
        <f>'50 изоляция'!L451*0.9</f>
        <v>9743.283</v>
      </c>
      <c r="M357" s="8">
        <f>'50 изоляция'!M451*0.9</f>
        <v>10481.625</v>
      </c>
    </row>
    <row r="358" ht="19.5" customHeight="1" spans="1:13">
      <c r="A358" s="89" t="s">
        <v>18</v>
      </c>
      <c r="B358" s="8">
        <f>'50 изоляция'!B452*0.9</f>
        <v>3114.54</v>
      </c>
      <c r="C358" s="8">
        <f>'50 изоляция'!C452*0.9</f>
        <v>3317.094</v>
      </c>
      <c r="D358" s="88">
        <f>'50 изоляция'!D452*0.9</f>
        <v>3635.082</v>
      </c>
      <c r="E358" s="8">
        <f>'50 изоляция'!E452*0.9</f>
        <v>4105.53</v>
      </c>
      <c r="F358" s="8">
        <f>'50 изоляция'!F452*0.9</f>
        <v>4247.1</v>
      </c>
      <c r="G358" s="88">
        <f>'50 изоляция'!G452*0.9</f>
        <v>4374.513</v>
      </c>
      <c r="H358" s="8">
        <f>'50 изоляция'!H452*0.9</f>
        <v>5243.535</v>
      </c>
      <c r="I358" s="8">
        <f>'50 изоляция'!I452*0.9</f>
        <v>5521.23</v>
      </c>
      <c r="J358" s="88">
        <f>'50 изоляция'!J452*0.9</f>
        <v>5728.14</v>
      </c>
      <c r="K358" s="8">
        <f>'50 изоляция'!K452*0.9</f>
        <v>7361.64</v>
      </c>
      <c r="L358" s="8">
        <f>'50 изоляция'!L452*0.9</f>
        <v>8341.74</v>
      </c>
      <c r="M358" s="8">
        <f>'50 изоляция'!M452*0.9</f>
        <v>8995.14</v>
      </c>
    </row>
    <row r="359" ht="19.5" customHeight="1" spans="1:13">
      <c r="A359" s="89" t="s">
        <v>19</v>
      </c>
      <c r="B359" s="8">
        <f>'50 изоляция'!B453*0.9</f>
        <v>2585.286</v>
      </c>
      <c r="C359" s="8">
        <f>'50 изоляция'!C453*0.9</f>
        <v>2689.83</v>
      </c>
      <c r="D359" s="88">
        <f>'50 изоляция'!D453*0.9</f>
        <v>2972.97</v>
      </c>
      <c r="E359" s="8">
        <f>'50 изоляция'!E453*0.9</f>
        <v>3308.382</v>
      </c>
      <c r="F359" s="8">
        <f>'50 изоляция'!F453*0.9</f>
        <v>3468.465</v>
      </c>
      <c r="G359" s="88">
        <f>'50 изоляция'!G453*0.9</f>
        <v>3539.25</v>
      </c>
      <c r="H359" s="8">
        <f>'50 изоляция'!H453*0.9</f>
        <v>4323.33</v>
      </c>
      <c r="I359" s="8">
        <f>'50 изоляция'!I453*0.9</f>
        <v>4555.287</v>
      </c>
      <c r="J359" s="88">
        <f>'50 изоляция'!J453*0.9</f>
        <v>4731.705</v>
      </c>
      <c r="K359" s="8">
        <f>'50 изоляция'!K453*0.9</f>
        <v>6183.342</v>
      </c>
      <c r="L359" s="8">
        <f>'50 изоляция'!L453*0.9</f>
        <v>7055.631</v>
      </c>
      <c r="M359" s="8">
        <f>'50 изоляция'!M453*0.9</f>
        <v>7636.068</v>
      </c>
    </row>
    <row r="360" ht="19.5" customHeight="1" spans="1:13">
      <c r="A360" s="89" t="s">
        <v>20</v>
      </c>
      <c r="B360" s="8">
        <f>'50 изоляция'!B454*0.9</f>
        <v>2084.346</v>
      </c>
      <c r="C360" s="8">
        <f>'50 изоляция'!C454*0.9</f>
        <v>2126.817</v>
      </c>
      <c r="D360" s="88">
        <f>'50 изоляция'!D454*0.9</f>
        <v>2353.329</v>
      </c>
      <c r="E360" s="8">
        <f>'50 изоляция'!E454*0.9</f>
        <v>2778.039</v>
      </c>
      <c r="F360" s="8">
        <f>'50 изоляция'!F454*0.9</f>
        <v>2878.227</v>
      </c>
      <c r="G360" s="88">
        <f>'50 изоляция'!G454*0.9</f>
        <v>2972.97</v>
      </c>
      <c r="H360" s="8">
        <f>'50 изоляция'!H454*0.9</f>
        <v>3383.523</v>
      </c>
      <c r="I360" s="8">
        <f>'50 изоляция'!I454*0.9</f>
        <v>3645.972</v>
      </c>
      <c r="J360" s="88">
        <f>'50 изоляция'!J454*0.9</f>
        <v>4173.048</v>
      </c>
      <c r="K360" s="8">
        <f>'50 изоляция'!K454*0.9</f>
        <v>4902.678</v>
      </c>
      <c r="L360" s="8">
        <f>'50 изоляция'!L454*0.9</f>
        <v>5340.456</v>
      </c>
      <c r="M360" s="8">
        <f>'50 изоляция'!M454*0.9</f>
        <v>5601.816</v>
      </c>
    </row>
    <row r="361" ht="19.5" customHeight="1" spans="1:13">
      <c r="A361" s="89" t="s">
        <v>21</v>
      </c>
      <c r="B361" s="8">
        <f>'50 изоляция'!B455*0.9</f>
        <v>1698.84</v>
      </c>
      <c r="C361" s="8">
        <f>'50 изоляция'!C455*0.9</f>
        <v>1843.677</v>
      </c>
      <c r="D361" s="88">
        <f>'50 изоляция'!D455*0.9</f>
        <v>1981.98</v>
      </c>
      <c r="E361" s="8">
        <f>'50 изоляция'!E455*0.9</f>
        <v>2156.22</v>
      </c>
      <c r="F361" s="8">
        <f>'50 изоляция'!F455*0.9</f>
        <v>2354.418</v>
      </c>
      <c r="G361" s="88">
        <f>'50 изоляция'!G455*0.9</f>
        <v>2589.642</v>
      </c>
      <c r="H361" s="8">
        <f>'50 изоляция'!H455*0.9</f>
        <v>2661.516</v>
      </c>
      <c r="I361" s="8">
        <f>'50 изоляция'!I455*0.9</f>
        <v>2848.824</v>
      </c>
      <c r="J361" s="88">
        <f>'50 изоляция'!J455*0.9</f>
        <v>3235.419</v>
      </c>
      <c r="K361" s="8">
        <f>'50 изоляция'!K455*0.9</f>
        <v>3764.673</v>
      </c>
      <c r="L361" s="8">
        <f>'50 изоляция'!L455*0.9</f>
        <v>4081.572</v>
      </c>
      <c r="M361" s="8">
        <f>'50 изоляция'!M455*0.9</f>
        <v>4272.147</v>
      </c>
    </row>
    <row r="362" ht="19.5" customHeight="1" spans="1:13">
      <c r="A362" s="89" t="s">
        <v>22</v>
      </c>
      <c r="B362" s="8">
        <f>'50 изоляция'!B456*0.9</f>
        <v>1466.883</v>
      </c>
      <c r="C362" s="8">
        <f>'50 изоляция'!C456*0.9</f>
        <v>1524.6</v>
      </c>
      <c r="D362" s="88">
        <f>'50 изоляция'!D456*0.9</f>
        <v>1694.484</v>
      </c>
      <c r="E362" s="8">
        <f>'50 изоляция'!E456*0.9</f>
        <v>1735.866</v>
      </c>
      <c r="F362" s="8">
        <f>'50 изоляция'!F456*0.9</f>
        <v>1854.567</v>
      </c>
      <c r="G362" s="88">
        <f>'50 изоляция'!G456*0.9</f>
        <v>1925.352</v>
      </c>
      <c r="H362" s="8">
        <f>'50 изоляция'!H456*0.9</f>
        <v>1963.467</v>
      </c>
      <c r="I362" s="8">
        <f>'50 изоляция'!I456*0.9</f>
        <v>2070.189</v>
      </c>
      <c r="J362" s="88">
        <f>'50 изоляция'!J456*0.9</f>
        <v>2306.502</v>
      </c>
      <c r="K362" s="8">
        <f>'50 изоляция'!K456*0.9</f>
        <v>2627.757</v>
      </c>
      <c r="L362" s="8">
        <f>'50 изоляция'!L456*0.9</f>
        <v>2820.51</v>
      </c>
      <c r="M362" s="8">
        <f>'50 изоляция'!M456*0.9</f>
        <v>2935.944</v>
      </c>
    </row>
    <row r="363" ht="19.5" customHeight="1" spans="1:13">
      <c r="A363" s="89" t="s">
        <v>23</v>
      </c>
      <c r="B363" s="8">
        <f>'50 изоляция'!B457*0.9</f>
        <v>3977.028</v>
      </c>
      <c r="C363" s="8">
        <f>'50 изоляция'!C457*0.9</f>
        <v>4349.466</v>
      </c>
      <c r="D363" s="88">
        <f>'50 изоляция'!D457*0.9</f>
        <v>4863.474</v>
      </c>
      <c r="E363" s="8">
        <f>'50 изоляция'!E457*0.9</f>
        <v>5257.692</v>
      </c>
      <c r="F363" s="8">
        <f>'50 изоляция'!F457*0.9</f>
        <v>5781.501</v>
      </c>
      <c r="G363" s="88">
        <f>'50 изоляция'!G457*0.9</f>
        <v>6470.838</v>
      </c>
      <c r="H363" s="8">
        <f>'50 изоляция'!H457*0.9</f>
        <v>7166.709</v>
      </c>
      <c r="I363" s="8">
        <f>'50 изоляция'!I457*0.9</f>
        <v>7418.268</v>
      </c>
      <c r="J363" s="88">
        <f>'50 изоляция'!J457*0.9</f>
        <v>8347.185</v>
      </c>
      <c r="K363" s="8">
        <f>'50 изоляция'!K457*0.9</f>
        <v>10802.88</v>
      </c>
      <c r="L363" s="8">
        <f>'50 изоляция'!L457*0.9</f>
        <v>12277.386</v>
      </c>
      <c r="M363" s="8">
        <f>'50 изоляция'!M457*0.9</f>
        <v>13259.664</v>
      </c>
    </row>
    <row r="364" ht="19.5" customHeight="1" spans="1:13">
      <c r="A364" s="89" t="s">
        <v>24</v>
      </c>
      <c r="B364" s="8">
        <f>'50 изоляция'!B458*0.9</f>
        <v>3693.888</v>
      </c>
      <c r="C364" s="8">
        <f>'50 изоляция'!C458*0.9</f>
        <v>4066.326</v>
      </c>
      <c r="D364" s="88">
        <f>'50 изоляция'!D458*0.9</f>
        <v>4580.334</v>
      </c>
      <c r="E364" s="8">
        <f>'50 изоляция'!E458*0.9</f>
        <v>4974.552</v>
      </c>
      <c r="F364" s="8">
        <f>'50 изоляция'!F458*0.9</f>
        <v>5498.361</v>
      </c>
      <c r="G364" s="88">
        <f>'50 изоляция'!G458*0.9</f>
        <v>6187.698</v>
      </c>
      <c r="H364" s="8">
        <f>'50 изоляция'!H458*0.9</f>
        <v>6883.569</v>
      </c>
      <c r="I364" s="8">
        <f>'50 изоляция'!I458*0.9</f>
        <v>7135.128</v>
      </c>
      <c r="J364" s="88">
        <f>'50 изоляция'!J458*0.9</f>
        <v>8064.045</v>
      </c>
      <c r="K364" s="8">
        <f>'50 изоляция'!K458*0.9</f>
        <v>10519.74</v>
      </c>
      <c r="L364" s="8">
        <f>'50 изоляция'!L458*0.9</f>
        <v>11994.246</v>
      </c>
      <c r="M364" s="8">
        <f>'50 изоляция'!M458*0.9</f>
        <v>12976.524</v>
      </c>
    </row>
    <row r="365" ht="19.5" customHeight="1" spans="1:13">
      <c r="A365" s="89" t="s">
        <v>26</v>
      </c>
      <c r="B365" s="8">
        <f>'50 изоляция'!B459*0.9</f>
        <v>5736.852</v>
      </c>
      <c r="C365" s="8">
        <f>'50 изоляция'!C459*0.9</f>
        <v>6171.363</v>
      </c>
      <c r="D365" s="88">
        <f>'50 изоляция'!D459*0.9</f>
        <v>6682.104</v>
      </c>
      <c r="E365" s="8">
        <f>'50 изоляция'!E459*0.9</f>
        <v>7229.871</v>
      </c>
      <c r="F365" s="8">
        <f>'50 изоляция'!F459*0.9</f>
        <v>7587.063</v>
      </c>
      <c r="G365" s="88">
        <f>'50 изоляция'!G459*0.9</f>
        <v>8177.301</v>
      </c>
      <c r="H365" s="8">
        <f>'50 изоляция'!H459*0.9</f>
        <v>8527.959</v>
      </c>
      <c r="I365" s="8">
        <f>'50 изоляция'!I459*0.9</f>
        <v>9320.751</v>
      </c>
      <c r="J365" s="88">
        <f>'50 изоляция'!J459*0.9</f>
        <v>10455.489</v>
      </c>
      <c r="K365" s="8">
        <f>'50 изоляция'!K459*0.9</f>
        <v>117633.78</v>
      </c>
      <c r="L365" s="8">
        <f>'50 изоляция'!L459*0.9</f>
        <v>11711.106</v>
      </c>
      <c r="M365" s="8">
        <f>'50 изоляция'!M459*0.9</f>
        <v>12693.384</v>
      </c>
    </row>
    <row r="366" ht="19.5" customHeight="1" spans="1:13">
      <c r="A366" s="89" t="s">
        <v>27</v>
      </c>
      <c r="B366" s="8">
        <f>'50 изоляция'!B460*0.9</f>
        <v>7634.979</v>
      </c>
      <c r="C366" s="8">
        <f>'50 изоляция'!C460*0.9</f>
        <v>8101.071</v>
      </c>
      <c r="D366" s="88">
        <f>'50 изоляция'!D460*0.9</f>
        <v>8363.52</v>
      </c>
      <c r="E366" s="8">
        <f>'50 изоляция'!E460*0.9</f>
        <v>8869.905</v>
      </c>
      <c r="F366" s="8">
        <f>'50 изоляция'!F460*0.9</f>
        <v>9272.835</v>
      </c>
      <c r="G366" s="88">
        <f>'50 изоляция'!G460*0.9</f>
        <v>10254.024</v>
      </c>
      <c r="H366" s="8">
        <f>'50 изоляция'!H460*0.9</f>
        <v>10890</v>
      </c>
      <c r="I366" s="8">
        <f>'50 изоляция'!I460*0.9</f>
        <v>12302.433</v>
      </c>
      <c r="J366" s="88">
        <f>'50 изоляция'!J460*0.9</f>
        <v>14638.338</v>
      </c>
      <c r="K366" s="8">
        <f>'50 изоляция'!K460*0.9</f>
        <v>17760.501</v>
      </c>
      <c r="L366" s="8">
        <f>'50 изоляция'!L460*0.9</f>
        <v>19632.492</v>
      </c>
      <c r="M366" s="8">
        <f>'50 изоляция'!M460*0.9</f>
        <v>20757.429</v>
      </c>
    </row>
    <row r="367" ht="19.5" customHeight="1" spans="1:13">
      <c r="A367" s="89" t="s">
        <v>70</v>
      </c>
      <c r="B367" s="8">
        <f>'50 изоляция'!B461*0.9</f>
        <v>14087.304</v>
      </c>
      <c r="C367" s="8">
        <f>'50 изоляция'!C461*0.9</f>
        <v>14544.684</v>
      </c>
      <c r="D367" s="88">
        <f>'50 изоляция'!D461*0.9</f>
        <v>14918.211</v>
      </c>
      <c r="E367" s="8">
        <f>'50 изоляция'!E461*0.9</f>
        <v>15342.921</v>
      </c>
      <c r="F367" s="8">
        <f>'50 изоляция'!F461*0.9</f>
        <v>15824.259</v>
      </c>
      <c r="G367" s="88">
        <f>'50 изоляция'!G461*0.9</f>
        <v>16913.259</v>
      </c>
      <c r="H367" s="8">
        <f>'50 изоляция'!H461*0.9</f>
        <v>17499.141</v>
      </c>
      <c r="I367" s="8">
        <f>'50 изоляция'!I461*0.9</f>
        <v>18768.915</v>
      </c>
      <c r="J367" s="88">
        <f>'50 изоляция'!J461*0.9</f>
        <v>20942.559</v>
      </c>
      <c r="K367" s="8">
        <f>'50 изоляция'!K461*0.9</f>
        <v>24620.112</v>
      </c>
      <c r="L367" s="8">
        <f>'50 изоляция'!L461*0.9</f>
        <v>26827.515</v>
      </c>
      <c r="M367" s="8">
        <f>'50 изоляция'!M461*0.9</f>
        <v>28151.739</v>
      </c>
    </row>
    <row r="368" ht="19.5" customHeight="1" spans="1:13">
      <c r="A368" s="89" t="s">
        <v>32</v>
      </c>
      <c r="B368" s="8">
        <f>'50 изоляция'!B462*0.9</f>
        <v>1646.568</v>
      </c>
      <c r="C368" s="8">
        <f>'50 изоляция'!C462*0.9</f>
        <v>1679.238</v>
      </c>
      <c r="D368" s="88">
        <f>'50 изоляция'!D462*0.9</f>
        <v>1714.086</v>
      </c>
      <c r="E368" s="8">
        <f>'50 изоляция'!E462*0.9</f>
        <v>1888.326</v>
      </c>
      <c r="F368" s="8">
        <f>'50 изоляция'!F462*0.9</f>
        <v>2062.566</v>
      </c>
      <c r="G368" s="88">
        <f>'50 изоляция'!G462*0.9</f>
        <v>2157.309</v>
      </c>
      <c r="H368" s="8">
        <f>'50 изоляция'!H462*0.9</f>
        <v>2335.905</v>
      </c>
      <c r="I368" s="8">
        <f>'50 изоляция'!I462*0.9</f>
        <v>2411.046</v>
      </c>
      <c r="J368" s="88">
        <f>'50 изоляция'!J462*0.9</f>
        <v>2658.249</v>
      </c>
      <c r="K368" s="8">
        <f>'50 изоляция'!K462*0.9</f>
        <v>2957.724</v>
      </c>
      <c r="L368" s="8">
        <f>'50 изоляция'!L462*0.9</f>
        <v>3137.409</v>
      </c>
      <c r="M368" s="8">
        <f>'50 изоляция'!M462*0.9</f>
        <v>3245.22</v>
      </c>
    </row>
    <row r="369" ht="19.5" customHeight="1" spans="1:13">
      <c r="A369" s="89" t="s">
        <v>81</v>
      </c>
      <c r="B369" s="8">
        <f>'50 изоляция'!B463*0.9</f>
        <v>4665.276</v>
      </c>
      <c r="C369" s="8">
        <f>'50 изоляция'!C463*0.9</f>
        <v>4818.825</v>
      </c>
      <c r="D369" s="88">
        <f>'50 изоляция'!D463*0.9</f>
        <v>4863.474</v>
      </c>
      <c r="E369" s="8">
        <f>'50 изоляция'!E463*0.9</f>
        <v>5047.515</v>
      </c>
      <c r="F369" s="8">
        <f>'50 изоляция'!F463*0.9</f>
        <v>5228.289</v>
      </c>
      <c r="G369" s="88">
        <f>'50 изоляция'!G463*0.9</f>
        <v>5739.03</v>
      </c>
      <c r="H369" s="8">
        <f>'50 изоляция'!H463*0.9</f>
        <v>6200.766</v>
      </c>
      <c r="I369" s="8">
        <f>'50 изоляция'!I463*0.9</f>
        <v>6673.392</v>
      </c>
      <c r="J369" s="88">
        <f>'50 изоляция'!J463*0.9</f>
        <v>7361.64</v>
      </c>
      <c r="K369" s="8">
        <f>'50 изоляция'!K463*0.9</f>
        <v>9244.521</v>
      </c>
      <c r="L369" s="8">
        <f>'50 изоляция'!L463*0.9</f>
        <v>10373.814</v>
      </c>
      <c r="M369" s="8">
        <f>'50 изоляция'!M463*0.9</f>
        <v>11052.261</v>
      </c>
    </row>
    <row r="370" ht="19.5" customHeight="1" spans="1:13">
      <c r="A370" s="89" t="s">
        <v>82</v>
      </c>
      <c r="B370" s="8">
        <f>'50 изоляция'!B464*0.9</f>
        <v>5684.58</v>
      </c>
      <c r="C370" s="8">
        <f>'50 изоляция'!C464*0.9</f>
        <v>5904.558</v>
      </c>
      <c r="D370" s="88">
        <f>'50 изоляция'!D464*0.9</f>
        <v>5947.029</v>
      </c>
      <c r="E370" s="8">
        <f>'50 изоляция'!E464*0.9</f>
        <v>6206.211</v>
      </c>
      <c r="F370" s="8">
        <f>'50 изоляция'!F464*0.9</f>
        <v>6463.215</v>
      </c>
      <c r="G370" s="88">
        <f>'50 изоляция'!G464*0.9</f>
        <v>6964.155</v>
      </c>
      <c r="H370" s="8">
        <f>'50 изоляция'!H464*0.9</f>
        <v>7234.227</v>
      </c>
      <c r="I370" s="8">
        <f>'50 изоляция'!I464*0.9</f>
        <v>7811.397</v>
      </c>
      <c r="J370" s="88">
        <f>'50 изоляция'!J464*0.9</f>
        <v>8714.178</v>
      </c>
      <c r="K370" s="8">
        <f>'50 изоляция'!K464*0.9</f>
        <v>10683.09</v>
      </c>
      <c r="L370" s="8">
        <f>'50 изоляция'!L464*0.9</f>
        <v>11864.655</v>
      </c>
      <c r="M370" s="8">
        <f>'50 изоляция'!M464*0.9</f>
        <v>12572.505</v>
      </c>
    </row>
    <row r="371" ht="19.5" customHeight="1" spans="1:13">
      <c r="A371" s="89" t="s">
        <v>39</v>
      </c>
      <c r="B371" s="8">
        <f>'50 изоляция'!B465*0.9</f>
        <v>3864.861</v>
      </c>
      <c r="C371" s="8">
        <f>'50 изоляция'!C465*0.9</f>
        <v>3916.044</v>
      </c>
      <c r="D371" s="88">
        <f>'50 изоляция'!D465*0.9</f>
        <v>4028.211</v>
      </c>
      <c r="E371" s="8">
        <f>'50 изоляция'!E465*0.9</f>
        <v>4411.539</v>
      </c>
      <c r="F371" s="8">
        <f>'50 изоляция'!F465*0.9</f>
        <v>4662.009</v>
      </c>
      <c r="G371" s="88">
        <f>'50 изоляция'!G465*0.9</f>
        <v>5054.049</v>
      </c>
      <c r="H371" s="8">
        <f>'50 изоляция'!H465*0.9</f>
        <v>5125.923</v>
      </c>
      <c r="I371" s="8">
        <f>'50 изоляция'!I465*0.9</f>
        <v>5323.032</v>
      </c>
      <c r="J371" s="88">
        <f>'50 изоляция'!J465*0.9</f>
        <v>5752.098</v>
      </c>
      <c r="K371" s="8">
        <f>'50 изоляция'!K465*0.9</f>
        <v>6725.664</v>
      </c>
      <c r="L371" s="8">
        <f>'50 изоляция'!L465*0.9</f>
        <v>7310.457</v>
      </c>
      <c r="M371" s="8">
        <f>'50 изоляция'!M465*0.9</f>
        <v>7660.026</v>
      </c>
    </row>
    <row r="372" ht="19.5" customHeight="1" spans="1:1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</row>
    <row r="373" ht="19.5" customHeight="1" spans="1:13">
      <c r="A373" s="120" t="s">
        <v>35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9.5" customHeight="1" spans="1:1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83" t="s">
        <v>99</v>
      </c>
    </row>
    <row r="375" ht="19.5" customHeight="1" spans="1:13">
      <c r="A375" s="35"/>
      <c r="B375" s="35"/>
      <c r="C375" s="35"/>
      <c r="D375" s="35"/>
      <c r="E375" s="35"/>
      <c r="F375" s="35"/>
      <c r="G375" s="35"/>
      <c r="H375" s="35"/>
      <c r="I375" s="35"/>
      <c r="J375" s="35"/>
    </row>
    <row r="376" ht="19.5" customHeight="1" spans="1:13">
      <c r="A376" s="92" t="s">
        <v>124</v>
      </c>
      <c r="B376" s="35"/>
      <c r="C376" s="35"/>
      <c r="D376" s="35"/>
      <c r="E376" s="35"/>
      <c r="F376" s="35"/>
      <c r="G376" s="35"/>
      <c r="H376" s="35"/>
      <c r="I376" s="35"/>
      <c r="J376" s="35"/>
    </row>
    <row r="377" ht="19.5" customHeight="1" spans="1:13">
      <c r="A377" s="92" t="s">
        <v>118</v>
      </c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</row>
    <row r="378" ht="19.5" customHeight="1" spans="1:13">
      <c r="A378" s="92" t="s">
        <v>102</v>
      </c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</row>
    <row r="379" ht="27" customHeight="1" spans="1:13">
      <c r="A379" s="17"/>
      <c r="B379" s="86" t="s">
        <v>103</v>
      </c>
      <c r="C379" s="86" t="s">
        <v>104</v>
      </c>
      <c r="D379" s="86" t="s">
        <v>105</v>
      </c>
      <c r="E379" s="86" t="s">
        <v>106</v>
      </c>
      <c r="F379" s="86" t="s">
        <v>107</v>
      </c>
      <c r="G379" s="86" t="s">
        <v>108</v>
      </c>
      <c r="H379" s="86" t="s">
        <v>109</v>
      </c>
      <c r="I379" s="86" t="s">
        <v>110</v>
      </c>
      <c r="J379" s="86" t="s">
        <v>111</v>
      </c>
      <c r="K379" s="86" t="s">
        <v>112</v>
      </c>
      <c r="L379" s="86" t="s">
        <v>113</v>
      </c>
      <c r="M379" s="86" t="s">
        <v>114</v>
      </c>
    </row>
    <row r="380" ht="19.5" customHeight="1" spans="1:13">
      <c r="A380" s="89" t="s">
        <v>68</v>
      </c>
      <c r="B380" s="8">
        <f>'50 изоляция'!B474*0.9</f>
        <v>4079.2455</v>
      </c>
      <c r="C380" s="8">
        <f>'50 изоляция'!C474*0.9</f>
        <v>4147.5555</v>
      </c>
      <c r="D380" s="88">
        <f>'50 изоляция'!D474*0.9</f>
        <v>4444.704</v>
      </c>
      <c r="E380" s="8">
        <f>'50 изоляция'!E474*0.9</f>
        <v>4804.47</v>
      </c>
      <c r="F380" s="8">
        <f>'50 изоляция'!F474*0.9</f>
        <v>5180.175</v>
      </c>
      <c r="G380" s="88">
        <f>'50 изоляция'!G474*0.9</f>
        <v>5402.1825</v>
      </c>
      <c r="H380" s="8">
        <f>'50 изоляция'!H474*0.9</f>
        <v>5665.176</v>
      </c>
      <c r="I380" s="8">
        <f>'50 изоляция'!I474*0.9</f>
        <v>6216.21</v>
      </c>
      <c r="J380" s="88">
        <f>'50 изоляция'!J474*0.9</f>
        <v>6808.23</v>
      </c>
      <c r="K380" s="8">
        <f>'50 изоляция'!K474*0.9</f>
        <v>8288.28</v>
      </c>
      <c r="L380" s="8">
        <f>'50 изоляция'!L474*0.9</f>
        <v>9176.31</v>
      </c>
      <c r="M380" s="8">
        <f>'50 изоляция'!M474*0.9</f>
        <v>9768.33</v>
      </c>
    </row>
    <row r="381" ht="19.5" customHeight="1" spans="1:13">
      <c r="A381" s="89" t="s">
        <v>18</v>
      </c>
      <c r="B381" s="8">
        <f>'50 изоляция'!B475*0.9</f>
        <v>3343.7745</v>
      </c>
      <c r="C381" s="8">
        <f>'50 изоляция'!C475*0.9</f>
        <v>3597.66</v>
      </c>
      <c r="D381" s="88">
        <f>'50 изоляция'!D475*0.9</f>
        <v>3906.1935</v>
      </c>
      <c r="E381" s="8">
        <f>'50 изоляция'!E475*0.9</f>
        <v>4178.295</v>
      </c>
      <c r="F381" s="8">
        <f>'50 изоляция'!F475*0.9</f>
        <v>4426.488</v>
      </c>
      <c r="G381" s="88">
        <f>'50 изоляция'!G475*0.9</f>
        <v>4638.249</v>
      </c>
      <c r="H381" s="8">
        <f>'50 изоляция'!H475*0.9</f>
        <v>4903.5195</v>
      </c>
      <c r="I381" s="8">
        <f>'50 изоляция'!I475*0.9</f>
        <v>5602.5585</v>
      </c>
      <c r="J381" s="88">
        <f>'50 изоляция'!J475*0.9</f>
        <v>5766.5025</v>
      </c>
      <c r="K381" s="8">
        <f>'50 изоляция'!K475*0.9</f>
        <v>7104.24</v>
      </c>
      <c r="L381" s="8">
        <f>'50 изоляция'!L475*0.9</f>
        <v>7725.861</v>
      </c>
      <c r="M381" s="8">
        <f>'50 изоляция'!M475*0.9</f>
        <v>8175.5685</v>
      </c>
    </row>
    <row r="382" ht="19.5" customHeight="1" spans="1:13">
      <c r="A382" s="89" t="s">
        <v>19</v>
      </c>
      <c r="B382" s="8">
        <f>'50 изоляция'!B476*0.9</f>
        <v>2604.888</v>
      </c>
      <c r="C382" s="8">
        <f>'50 изоляция'!C476*0.9</f>
        <v>2823.48</v>
      </c>
      <c r="D382" s="88">
        <f>'50 изоляция'!D476*0.9</f>
        <v>3078.504</v>
      </c>
      <c r="E382" s="8">
        <f>'50 изоляция'!E476*0.9</f>
        <v>3309.6195</v>
      </c>
      <c r="F382" s="8">
        <f>'50 изоляция'!F476*0.9</f>
        <v>3622.707</v>
      </c>
      <c r="G382" s="88">
        <f>'50 изоляция'!G476*0.9</f>
        <v>3848.13</v>
      </c>
      <c r="H382" s="8">
        <f>'50 изоляция'!H476*0.9</f>
        <v>4000.689</v>
      </c>
      <c r="I382" s="8">
        <f>'50 изоляция'!I476*0.9</f>
        <v>4345.6545</v>
      </c>
      <c r="J382" s="88">
        <f>'50 изоляция'!J476*0.9</f>
        <v>4736.16</v>
      </c>
      <c r="K382" s="8">
        <f>'50 изоляция'!K476*0.9</f>
        <v>5772.195</v>
      </c>
      <c r="L382" s="8">
        <f>'50 изоляция'!L476*0.9</f>
        <v>6393.816</v>
      </c>
      <c r="M382" s="8">
        <f>'50 изоляция'!M476*0.9</f>
        <v>6808.23</v>
      </c>
    </row>
    <row r="383" ht="19.5" customHeight="1" spans="1:13">
      <c r="A383" s="89" t="s">
        <v>20</v>
      </c>
      <c r="B383" s="8">
        <f>'50 изоляция'!B477*0.9</f>
        <v>2162.0115</v>
      </c>
      <c r="C383" s="8">
        <f>'50 изоляция'!C477*0.9</f>
        <v>2358.972</v>
      </c>
      <c r="D383" s="88">
        <f>'50 изоляция'!D477*0.9</f>
        <v>2580.9795</v>
      </c>
      <c r="E383" s="8">
        <f>'50 изоляция'!E477*0.9</f>
        <v>2788.1865</v>
      </c>
      <c r="F383" s="8">
        <f>'50 изоляция'!F477*0.9</f>
        <v>3004.5015</v>
      </c>
      <c r="G383" s="88">
        <f>'50 изоляция'!G477*0.9</f>
        <v>3108.105</v>
      </c>
      <c r="H383" s="8">
        <f>'50 изоляция'!H477*0.9</f>
        <v>3267.495</v>
      </c>
      <c r="I383" s="8">
        <f>'50 изоляция'!I477*0.9</f>
        <v>3500.8875</v>
      </c>
      <c r="J383" s="88">
        <f>'50 изоляция'!J477*0.9</f>
        <v>3848.13</v>
      </c>
      <c r="K383" s="8">
        <f>'50 изоляция'!K477*0.9</f>
        <v>4635.972</v>
      </c>
      <c r="L383" s="8">
        <f>'50 изоляция'!L477*0.9</f>
        <v>5107.311</v>
      </c>
      <c r="M383" s="8">
        <f>'50 изоляция'!M477*0.9</f>
        <v>5422.6755</v>
      </c>
    </row>
    <row r="384" ht="19.5" customHeight="1" spans="1:13">
      <c r="A384" s="89" t="s">
        <v>21</v>
      </c>
      <c r="B384" s="8">
        <f>'50 изоляция'!B478*0.9</f>
        <v>2051.577</v>
      </c>
      <c r="C384" s="8">
        <f>'50 изоляция'!C478*0.9</f>
        <v>2076.624</v>
      </c>
      <c r="D384" s="88">
        <f>'50 изоляция'!D478*0.9</f>
        <v>2165.427</v>
      </c>
      <c r="E384" s="8">
        <f>'50 изоляция'!E478*0.9</f>
        <v>2229.183</v>
      </c>
      <c r="F384" s="8">
        <f>'50 изоляция'!F478*0.9</f>
        <v>2394.2655</v>
      </c>
      <c r="G384" s="88">
        <f>'50 изоляция'!G478*0.9</f>
        <v>2511.531</v>
      </c>
      <c r="H384" s="8">
        <f>'50 изоляция'!H478*0.9</f>
        <v>2561.625</v>
      </c>
      <c r="I384" s="8">
        <f>'50 изоляция'!I478*0.9</f>
        <v>2727.846</v>
      </c>
      <c r="J384" s="88">
        <f>'50 изоляция'!J478*0.9</f>
        <v>3088.7505</v>
      </c>
      <c r="K384" s="8">
        <f>'50 изоляция'!K478*0.9</f>
        <v>3555.5355</v>
      </c>
      <c r="L384" s="8">
        <f>'50 изоляция'!L478*0.9</f>
        <v>3834.468</v>
      </c>
      <c r="M384" s="8">
        <f>'50 изоляция'!M478*0.9</f>
        <v>4021.182</v>
      </c>
    </row>
    <row r="385" ht="19.5" customHeight="1" spans="1:13">
      <c r="A385" s="89" t="s">
        <v>22</v>
      </c>
      <c r="B385" s="8">
        <f>'50 изоляция'!B479*0.9</f>
        <v>1564.299</v>
      </c>
      <c r="C385" s="8">
        <f>'50 изоляция'!C479*0.9</f>
        <v>1579.0995</v>
      </c>
      <c r="D385" s="88">
        <f>'50 изоляция'!D479*0.9</f>
        <v>1631.4705</v>
      </c>
      <c r="E385" s="8">
        <f>'50 изоляция'!E479*0.9</f>
        <v>1669.041</v>
      </c>
      <c r="F385" s="8">
        <f>'50 изоляция'!F479*0.9</f>
        <v>1765.8135</v>
      </c>
      <c r="G385" s="88">
        <f>'50 изоляция'!G479*0.9</f>
        <v>1846.647</v>
      </c>
      <c r="H385" s="8">
        <f>'50 изоляция'!H479*0.9</f>
        <v>1876.248</v>
      </c>
      <c r="I385" s="8">
        <f>'50 изоляция'!I479*0.9</f>
        <v>2105.0865</v>
      </c>
      <c r="J385" s="88">
        <f>'50 изоляция'!J479*0.9</f>
        <v>2332.7865</v>
      </c>
      <c r="K385" s="8">
        <f>'50 изоляция'!K479*0.9</f>
        <v>2619.6885</v>
      </c>
      <c r="L385" s="8">
        <f>'50 изоляция'!L479*0.9</f>
        <v>2791.602</v>
      </c>
      <c r="M385" s="8">
        <f>'50 изоляция'!M479*0.9</f>
        <v>2906.5905</v>
      </c>
    </row>
    <row r="386" ht="19.5" customHeight="1" spans="1:13">
      <c r="A386" s="89" t="s">
        <v>23</v>
      </c>
      <c r="B386" s="8">
        <f>'50 изоляция'!B480*0.9</f>
        <v>4614.3405</v>
      </c>
      <c r="C386" s="8">
        <f>'50 изоляция'!C480*0.9</f>
        <v>4991.184</v>
      </c>
      <c r="D386" s="88">
        <f>'50 изоляция'!D480*0.9</f>
        <v>5220.0225</v>
      </c>
      <c r="E386" s="8">
        <f>'50 изоляция'!E480*0.9</f>
        <v>5760.81</v>
      </c>
      <c r="F386" s="8">
        <f>'50 изоляция'!F480*0.9</f>
        <v>6136.515</v>
      </c>
      <c r="G386" s="88">
        <f>'50 изоляция'!G480*0.9</f>
        <v>6523.605</v>
      </c>
      <c r="H386" s="8">
        <f>'50 изоляция'!H480*0.9</f>
        <v>6893.6175</v>
      </c>
      <c r="I386" s="8">
        <f>'50 изоляция'!I480*0.9</f>
        <v>7731.5535</v>
      </c>
      <c r="J386" s="88">
        <f>'50 изоляция'!J480*0.9</f>
        <v>8587.7055</v>
      </c>
      <c r="K386" s="8">
        <f>'50 изоляция'!K480*0.9</f>
        <v>10769.0715</v>
      </c>
      <c r="L386" s="8">
        <f>'50 изоляция'!L480*0.9</f>
        <v>11870.001</v>
      </c>
      <c r="M386" s="8">
        <f>'50 изоляция'!M480*0.9</f>
        <v>12435.8355</v>
      </c>
    </row>
    <row r="387" ht="19.5" customHeight="1" spans="1:13">
      <c r="A387" s="89" t="s">
        <v>24</v>
      </c>
      <c r="B387" s="8">
        <f>'50 изоляция'!B481*0.9</f>
        <v>4318.3305</v>
      </c>
      <c r="C387" s="8">
        <f>'50 изоляция'!C481*0.9</f>
        <v>4695.174</v>
      </c>
      <c r="D387" s="88">
        <f>'50 изоляция'!D481*0.9</f>
        <v>4924.0125</v>
      </c>
      <c r="E387" s="8">
        <f>'50 изоляция'!E481*0.9</f>
        <v>5464.8</v>
      </c>
      <c r="F387" s="8">
        <f>'50 изоляция'!F481*0.9</f>
        <v>5840.505</v>
      </c>
      <c r="G387" s="88">
        <f>'50 изоляция'!G481*0.9</f>
        <v>6227.595</v>
      </c>
      <c r="H387" s="8">
        <f>'50 изоляция'!H481*0.9</f>
        <v>6597.6075</v>
      </c>
      <c r="I387" s="8">
        <f>'50 изоляция'!I481*0.9</f>
        <v>7435.5435</v>
      </c>
      <c r="J387" s="88">
        <f>'50 изоляция'!J481*0.9</f>
        <v>8291.6955</v>
      </c>
      <c r="K387" s="8">
        <f>'50 изоляция'!K481*0.9</f>
        <v>10473.0615</v>
      </c>
      <c r="L387" s="8">
        <f>'50 изоляция'!L481*0.9</f>
        <v>11573.991</v>
      </c>
      <c r="M387" s="8">
        <f>'50 изоляция'!M481*0.9</f>
        <v>12139.8255</v>
      </c>
    </row>
    <row r="388" ht="19.5" customHeight="1" spans="1:13">
      <c r="A388" s="89" t="s">
        <v>26</v>
      </c>
      <c r="B388" s="8">
        <f>'50 изоляция'!B482*0.9</f>
        <v>5535.387</v>
      </c>
      <c r="C388" s="8">
        <f>'50 изоляция'!C482*0.9</f>
        <v>5908.815</v>
      </c>
      <c r="D388" s="88">
        <f>'50 изоляция'!D482*0.9</f>
        <v>6389.262</v>
      </c>
      <c r="E388" s="8">
        <f>'50 изоляция'!E482*0.9</f>
        <v>7189.6275</v>
      </c>
      <c r="F388" s="8">
        <f>'50 изоляция'!F482*0.9</f>
        <v>7278.4305</v>
      </c>
      <c r="G388" s="88">
        <f>'50 изоляция'!G482*0.9</f>
        <v>7770.2625</v>
      </c>
      <c r="H388" s="8">
        <f>'50 изоляция'!H482*0.9</f>
        <v>8207.4465</v>
      </c>
      <c r="I388" s="8">
        <f>'50 изоляция'!I482*0.9</f>
        <v>9127.3545</v>
      </c>
      <c r="J388" s="88">
        <f>'50 изоляция'!J482*0.9</f>
        <v>9912.9195</v>
      </c>
      <c r="K388" s="8">
        <f>'50 изоляция'!K482*0.9</f>
        <v>12175.119</v>
      </c>
      <c r="L388" s="8">
        <f>'50 изоляция'!L482*0.9</f>
        <v>13532.211</v>
      </c>
      <c r="M388" s="8">
        <f>'50 изоляция'!M482*0.9</f>
        <v>14436.18</v>
      </c>
    </row>
    <row r="389" ht="19.5" customHeight="1" spans="1:13">
      <c r="A389" s="89" t="s">
        <v>27</v>
      </c>
      <c r="B389" s="8">
        <f>'50 изоляция'!B483*0.9</f>
        <v>7483.3605</v>
      </c>
      <c r="C389" s="8">
        <f>'50 изоляция'!C483*0.9</f>
        <v>7864.758</v>
      </c>
      <c r="D389" s="88">
        <f>'50 изоляция'!D483*0.9</f>
        <v>8218.8315</v>
      </c>
      <c r="E389" s="8">
        <f>'50 изоляция'!E483*0.9</f>
        <v>8805.159</v>
      </c>
      <c r="F389" s="8">
        <f>'50 изоляция'!F483*0.9</f>
        <v>9265.113</v>
      </c>
      <c r="G389" s="88">
        <f>'50 изоляция'!G483*0.9</f>
        <v>10276.101</v>
      </c>
      <c r="H389" s="8">
        <f>'50 изоляция'!H483*0.9</f>
        <v>11391.831</v>
      </c>
      <c r="I389" s="8">
        <f>'50 изоляция'!I483*0.9</f>
        <v>12549.6855</v>
      </c>
      <c r="J389" s="88">
        <f>'50 изоляция'!J483*0.9</f>
        <v>14390.64</v>
      </c>
      <c r="K389" s="8">
        <f>'50 изоляция'!K483*0.9</f>
        <v>16995.528</v>
      </c>
      <c r="L389" s="8">
        <f>'50 изоляция'!L483*0.9</f>
        <v>18558.6885</v>
      </c>
      <c r="M389" s="8">
        <f>'50 изоляция'!M483*0.9</f>
        <v>19496.8125</v>
      </c>
    </row>
    <row r="390" ht="19.5" customHeight="1" spans="1:13">
      <c r="A390" s="89" t="s">
        <v>70</v>
      </c>
      <c r="B390" s="8">
        <f>'50 изоляция'!B484*0.9</f>
        <v>13537.9035</v>
      </c>
      <c r="C390" s="8">
        <f>'50 изоляция'!C484*0.9</f>
        <v>13992.165</v>
      </c>
      <c r="D390" s="88">
        <f>'50 изоляция'!D484*0.9</f>
        <v>14382.6705</v>
      </c>
      <c r="E390" s="8">
        <f>'50 изоляция'!E484*0.9</f>
        <v>14816.439</v>
      </c>
      <c r="F390" s="8">
        <f>'50 изоляция'!F484*0.9</f>
        <v>15299.163</v>
      </c>
      <c r="G390" s="88">
        <f>'50 изоляция'!G484*0.9</f>
        <v>16363.6605</v>
      </c>
      <c r="H390" s="8">
        <f>'50 изоляция'!H484*0.9</f>
        <v>16937.4645</v>
      </c>
      <c r="I390" s="8">
        <f>'50 изоляция'!I484*0.9</f>
        <v>18175.014</v>
      </c>
      <c r="J390" s="88">
        <f>'50 изоляция'!J484*0.9</f>
        <v>20428.1055</v>
      </c>
      <c r="K390" s="8">
        <f>'50 изоляция'!K484*0.9</f>
        <v>24301.2825</v>
      </c>
      <c r="L390" s="8">
        <f>'50 изоляция'!L484*0.9</f>
        <v>26624.961</v>
      </c>
      <c r="M390" s="8">
        <f>'50 изоляция'!M484*0.9</f>
        <v>28240.4925</v>
      </c>
    </row>
    <row r="391" ht="19.5" customHeight="1" spans="1:13">
      <c r="A391" s="89" t="s">
        <v>71</v>
      </c>
      <c r="B391" s="8">
        <f>'50 изоляция'!B485*0.9</f>
        <v>1623.501</v>
      </c>
      <c r="C391" s="8">
        <f>'50 изоляция'!C485*0.9</f>
        <v>1657.656</v>
      </c>
      <c r="D391" s="88">
        <f>'50 изоляция'!D485*0.9</f>
        <v>1776.06</v>
      </c>
      <c r="E391" s="8">
        <f>'50 изоляция'!E485*0.9</f>
        <v>1968.4665</v>
      </c>
      <c r="F391" s="8">
        <f>'50 изоляция'!F485*0.9</f>
        <v>2115.333</v>
      </c>
      <c r="G391" s="88">
        <f>'50 изоляция'!G485*0.9</f>
        <v>2243.9835</v>
      </c>
      <c r="H391" s="8">
        <f>'50 изоляция'!H485*0.9</f>
        <v>2436.39</v>
      </c>
      <c r="I391" s="8">
        <f>'50 изоляция'!I485*0.9</f>
        <v>2516.085</v>
      </c>
      <c r="J391" s="88">
        <f>'50 изоляция'!J485*0.9</f>
        <v>2812.095</v>
      </c>
      <c r="K391" s="8">
        <f>'50 изоляция'!K485*0.9</f>
        <v>3217.401</v>
      </c>
      <c r="L391" s="8">
        <f>'50 изоляция'!L485*0.9</f>
        <v>3459.9015</v>
      </c>
      <c r="M391" s="8">
        <f>'50 изоляция'!M485*0.9</f>
        <v>3606.768</v>
      </c>
    </row>
    <row r="392" ht="19.5" customHeight="1" spans="1:13">
      <c r="A392" s="89" t="s">
        <v>72</v>
      </c>
      <c r="B392" s="8">
        <f>'50 изоляция'!B486*0.9</f>
        <v>4547.169</v>
      </c>
      <c r="C392" s="8">
        <f>'50 изоляция'!C486*0.9</f>
        <v>4687.2045</v>
      </c>
      <c r="D392" s="88">
        <f>'50 изоляция'!D486*0.9</f>
        <v>4752.099</v>
      </c>
      <c r="E392" s="8">
        <f>'50 изоляция'!E486*0.9</f>
        <v>4936.536</v>
      </c>
      <c r="F392" s="8">
        <f>'50 изоляция'!F486*0.9</f>
        <v>5100.48</v>
      </c>
      <c r="G392" s="88">
        <f>'50 изоляция'!G486*0.9</f>
        <v>5492.124</v>
      </c>
      <c r="H392" s="8">
        <f>'50 изоляция'!H486*0.9</f>
        <v>5674.284</v>
      </c>
      <c r="I392" s="8">
        <f>'50 изоляция'!I486*0.9</f>
        <v>6073.8975</v>
      </c>
      <c r="J392" s="88">
        <f>'50 изоляция'!J486*0.9</f>
        <v>6813.9225</v>
      </c>
      <c r="K392" s="8">
        <f>'50 изоляция'!K486*0.9</f>
        <v>8219.97</v>
      </c>
      <c r="L392" s="8">
        <f>'50 изоляция'!L486*0.9</f>
        <v>9063.5985</v>
      </c>
      <c r="M392" s="8">
        <f>'50 изоляция'!M486*0.9</f>
        <v>9570.231</v>
      </c>
    </row>
    <row r="393" ht="19.5" customHeight="1" spans="1:13">
      <c r="A393" s="89" t="s">
        <v>73</v>
      </c>
      <c r="B393" s="8">
        <f>'50 изоляция'!B487*0.9</f>
        <v>1843.2315</v>
      </c>
      <c r="C393" s="8">
        <f>'50 изоляция'!C487*0.9</f>
        <v>1919.511</v>
      </c>
      <c r="D393" s="88">
        <f>'50 изоляция'!D487*0.9</f>
        <v>2056.131</v>
      </c>
      <c r="E393" s="8">
        <f>'50 изоляция'!E487*0.9</f>
        <v>2168.8425</v>
      </c>
      <c r="F393" s="8">
        <f>'50 изоляция'!F487*0.9</f>
        <v>2249.676</v>
      </c>
      <c r="G393" s="88">
        <f>'50 изоляция'!G487*0.9</f>
        <v>2521.7775</v>
      </c>
      <c r="H393" s="8">
        <f>'50 изоляция'!H487*0.9</f>
        <v>2699.3835</v>
      </c>
      <c r="I393" s="8">
        <f>'50 изоляция'!I487*0.9</f>
        <v>3143.3985</v>
      </c>
      <c r="J393" s="88">
        <f>'50 изоляция'!J487*0.9</f>
        <v>3409.8075</v>
      </c>
      <c r="K393" s="8">
        <f>'50 изоляция'!K487*0.9</f>
        <v>4182.849</v>
      </c>
      <c r="L393" s="8">
        <f>'50 изоляция'!L487*0.9</f>
        <v>4646.2185</v>
      </c>
      <c r="M393" s="8">
        <f>'50 изоляция'!M487*0.9</f>
        <v>4924.0125</v>
      </c>
    </row>
    <row r="394" ht="19.5" customHeight="1" spans="1:13">
      <c r="A394" s="89" t="s">
        <v>74</v>
      </c>
      <c r="B394" s="8">
        <f>'50 изоляция'!B488*0.9</f>
        <v>2327.094</v>
      </c>
      <c r="C394" s="8">
        <f>'50 изоляция'!C488*0.9</f>
        <v>2442.0825</v>
      </c>
      <c r="D394" s="88">
        <f>'50 изоляция'!D488*0.9</f>
        <v>2604.888</v>
      </c>
      <c r="E394" s="8">
        <f>'50 изоляция'!E488*0.9</f>
        <v>2698.245</v>
      </c>
      <c r="F394" s="8">
        <f>'50 изоляция'!F488*0.9</f>
        <v>2842.8345</v>
      </c>
      <c r="G394" s="88">
        <f>'50 изоляция'!G488*0.9</f>
        <v>3310.758</v>
      </c>
      <c r="H394" s="8">
        <f>'50 изоляция'!H488*0.9</f>
        <v>3532.7655</v>
      </c>
      <c r="I394" s="8">
        <f>'50 изоляция'!I488*0.9</f>
        <v>3920.994</v>
      </c>
      <c r="J394" s="88">
        <f>'50 изоляция'!J488*0.9</f>
        <v>4371.84</v>
      </c>
      <c r="K394" s="8">
        <f>'50 изоляция'!K488*0.9</f>
        <v>5248.485</v>
      </c>
      <c r="L394" s="8">
        <f>'50 изоляция'!L488*0.9</f>
        <v>5773.3335</v>
      </c>
      <c r="M394" s="8">
        <f>'50 изоляция'!M488*0.9</f>
        <v>6088.698</v>
      </c>
    </row>
    <row r="395" ht="19.5" customHeight="1" spans="1:13">
      <c r="A395" s="89" t="s">
        <v>77</v>
      </c>
      <c r="B395" s="8">
        <f>'50 изоляция'!B489*0.9</f>
        <v>3071.673</v>
      </c>
      <c r="C395" s="8">
        <f>'50 изоляция'!C489*0.9</f>
        <v>3152.5065</v>
      </c>
      <c r="D395" s="88">
        <f>'50 изоляция'!D489*0.9</f>
        <v>3408.669</v>
      </c>
      <c r="E395" s="8">
        <f>'50 изоляция'!E489*0.9</f>
        <v>3700.125</v>
      </c>
      <c r="F395" s="8">
        <f>'50 изоляция'!F489*0.9</f>
        <v>3922.1325</v>
      </c>
      <c r="G395" s="88">
        <f>'50 изоляция'!G489*0.9</f>
        <v>4207.896</v>
      </c>
      <c r="H395" s="8">
        <f>'50 изоляция'!H489*0.9</f>
        <v>4503.906</v>
      </c>
      <c r="I395" s="8">
        <f>'50 изоляция'!I489*0.9</f>
        <v>4957.029</v>
      </c>
      <c r="J395" s="88">
        <f>'50 изоляция'!J489*0.9</f>
        <v>5461.3845</v>
      </c>
      <c r="K395" s="8">
        <f>'50 изоляция'!K489*0.9</f>
        <v>5846.1975</v>
      </c>
      <c r="L395" s="8">
        <f>'50 изоляция'!L489*0.9</f>
        <v>5899.707</v>
      </c>
      <c r="M395" s="8">
        <f>'50 изоляция'!M489*0.9</f>
        <v>5935.0005</v>
      </c>
    </row>
    <row r="396" ht="19.5" customHeight="1" spans="1:1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</row>
    <row r="397" ht="19.5" customHeight="1" spans="1:13">
      <c r="A397" s="120" t="s">
        <v>35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9.5" customHeight="1" spans="1:1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83" t="s">
        <v>99</v>
      </c>
    </row>
    <row r="399" ht="19.5" customHeight="1" spans="1:13">
      <c r="A399" s="35"/>
      <c r="B399" s="35"/>
      <c r="C399" s="35"/>
      <c r="D399" s="35"/>
      <c r="E399" s="35"/>
      <c r="F399" s="35"/>
      <c r="G399" s="35"/>
      <c r="H399" s="35"/>
      <c r="I399" s="35"/>
      <c r="J399" s="35"/>
    </row>
    <row r="400" ht="19.5" customHeight="1" spans="1:13">
      <c r="A400" s="92" t="s">
        <v>125</v>
      </c>
      <c r="B400" s="35"/>
      <c r="C400" s="35"/>
      <c r="D400" s="35"/>
      <c r="E400" s="35"/>
      <c r="F400" s="35"/>
      <c r="G400" s="35"/>
      <c r="H400" s="35"/>
      <c r="I400" s="35"/>
      <c r="J400" s="35"/>
    </row>
    <row r="401" ht="19.5" customHeight="1" spans="1:13">
      <c r="A401" s="92" t="s">
        <v>118</v>
      </c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</row>
    <row r="402" ht="19.5" customHeight="1" spans="1:13">
      <c r="A402" s="92" t="s">
        <v>102</v>
      </c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</row>
    <row r="403" ht="27" customHeight="1" spans="1:13">
      <c r="A403" s="17"/>
      <c r="B403" s="86" t="s">
        <v>103</v>
      </c>
      <c r="C403" s="86" t="s">
        <v>104</v>
      </c>
      <c r="D403" s="86" t="s">
        <v>105</v>
      </c>
      <c r="E403" s="86" t="s">
        <v>106</v>
      </c>
      <c r="F403" s="86" t="s">
        <v>107</v>
      </c>
      <c r="G403" s="86" t="s">
        <v>108</v>
      </c>
      <c r="H403" s="86" t="s">
        <v>109</v>
      </c>
      <c r="I403" s="86" t="s">
        <v>110</v>
      </c>
      <c r="J403" s="86" t="s">
        <v>111</v>
      </c>
      <c r="K403" s="86" t="s">
        <v>112</v>
      </c>
      <c r="L403" s="86" t="s">
        <v>113</v>
      </c>
      <c r="M403" s="86" t="s">
        <v>114</v>
      </c>
    </row>
    <row r="404" ht="19.5" customHeight="1" spans="1:13">
      <c r="A404" s="89" t="s">
        <v>68</v>
      </c>
      <c r="B404" s="8">
        <f>'50 изоляция'!B498*0.9</f>
        <v>4725.9135</v>
      </c>
      <c r="C404" s="8">
        <f>'50 изоляция'!C498*0.9</f>
        <v>5143.743</v>
      </c>
      <c r="D404" s="88">
        <f>'50 изоляция'!D498*0.9</f>
        <v>5476.185</v>
      </c>
      <c r="E404" s="8">
        <f>'50 изоляция'!E498*0.9</f>
        <v>5935.0005</v>
      </c>
      <c r="F404" s="8">
        <f>'50 изоляция'!F498*0.9</f>
        <v>6294.7665</v>
      </c>
      <c r="G404" s="88">
        <f>'50 изоляция'!G498*0.9</f>
        <v>6570.2835</v>
      </c>
      <c r="H404" s="8">
        <f>'50 изоляция'!H498*0.9</f>
        <v>7203.2895</v>
      </c>
      <c r="I404" s="8">
        <f>'50 изоляция'!I498*0.9</f>
        <v>7867.035</v>
      </c>
      <c r="J404" s="88">
        <f>'50 изоляция'!J498*0.9</f>
        <v>8459.055</v>
      </c>
      <c r="K404" s="8">
        <f>'50 изоляция'!K498*0.9</f>
        <v>10804.365</v>
      </c>
      <c r="L404" s="8">
        <f>'50 изоляция'!L498*0.9</f>
        <v>11840.4</v>
      </c>
      <c r="M404" s="8">
        <f>'50 изоляция'!M498*0.9</f>
        <v>12728.43</v>
      </c>
    </row>
    <row r="405" ht="19.5" customHeight="1" spans="1:13">
      <c r="A405" s="89" t="s">
        <v>18</v>
      </c>
      <c r="B405" s="8">
        <f>'50 изоляция'!B499*0.9</f>
        <v>4078.107</v>
      </c>
      <c r="C405" s="8">
        <f>'50 изоляция'!C499*0.9</f>
        <v>4350.2085</v>
      </c>
      <c r="D405" s="88">
        <f>'50 изоляция'!D499*0.9</f>
        <v>4736.16</v>
      </c>
      <c r="E405" s="8">
        <f>'50 изоляция'!E499*0.9</f>
        <v>5018.508</v>
      </c>
      <c r="F405" s="8">
        <f>'50 изоляция'!F499*0.9</f>
        <v>5328.18</v>
      </c>
      <c r="G405" s="88">
        <f>'50 изоляция'!G499*0.9</f>
        <v>5465.9385</v>
      </c>
      <c r="H405" s="8">
        <f>'50 изоляция'!H499*0.9</f>
        <v>6201.4095</v>
      </c>
      <c r="I405" s="8">
        <f>'50 изоляция'!I499*0.9</f>
        <v>6883.371</v>
      </c>
      <c r="J405" s="88">
        <f>'50 изоляция'!J499*0.9</f>
        <v>7104.24</v>
      </c>
      <c r="K405" s="8">
        <f>'50 изоляция'!K499*0.9</f>
        <v>9176.31</v>
      </c>
      <c r="L405" s="8">
        <f>'50 изоляция'!L499*0.9</f>
        <v>10064.34</v>
      </c>
      <c r="M405" s="8">
        <f>'50 изоляция'!M499*0.9</f>
        <v>10878.3675</v>
      </c>
    </row>
    <row r="406" ht="19.5" customHeight="1" spans="1:13">
      <c r="A406" s="89" t="s">
        <v>19</v>
      </c>
      <c r="B406" s="8">
        <f>'50 изоляция'!B500*0.9</f>
        <v>3326.697</v>
      </c>
      <c r="C406" s="8">
        <f>'50 изоляция'!C500*0.9</f>
        <v>3557.8125</v>
      </c>
      <c r="D406" s="88">
        <f>'50 изоляция'!D500*0.9</f>
        <v>3848.13</v>
      </c>
      <c r="E406" s="8">
        <f>'50 изоляция'!E500*0.9</f>
        <v>4100.877</v>
      </c>
      <c r="F406" s="8">
        <f>'50 изоляция'!F500*0.9</f>
        <v>4354.7625</v>
      </c>
      <c r="G406" s="88">
        <f>'50 изоляция'!G500*0.9</f>
        <v>4806.747</v>
      </c>
      <c r="H406" s="8">
        <f>'50 изоляция'!H500*0.9</f>
        <v>5050.386</v>
      </c>
      <c r="I406" s="8">
        <f>'50 изоляция'!I500*0.9</f>
        <v>5603.697</v>
      </c>
      <c r="J406" s="88">
        <f>'50 изоляция'!J500*0.9</f>
        <v>5920.2</v>
      </c>
      <c r="K406" s="8">
        <f>'50 изоляция'!K500*0.9</f>
        <v>7593.795</v>
      </c>
      <c r="L406" s="8">
        <f>'50 изоляция'!L500*0.9</f>
        <v>8378.2215</v>
      </c>
      <c r="M406" s="8">
        <f>'50 изоляция'!M500*0.9</f>
        <v>8900.793</v>
      </c>
    </row>
    <row r="407" ht="19.5" customHeight="1" spans="1:13">
      <c r="A407" s="89" t="s">
        <v>20</v>
      </c>
      <c r="B407" s="8">
        <f>'50 изоляция'!B501*0.9</f>
        <v>3037.518</v>
      </c>
      <c r="C407" s="8">
        <f>'50 изоляция'!C501*0.9</f>
        <v>3108.105</v>
      </c>
      <c r="D407" s="88">
        <f>'50 изоляция'!D501*0.9</f>
        <v>3284.5725</v>
      </c>
      <c r="E407" s="8">
        <f>'50 изоляция'!E501*0.9</f>
        <v>3407.5305</v>
      </c>
      <c r="F407" s="8">
        <f>'50 изоляция'!F501*0.9</f>
        <v>3729.726</v>
      </c>
      <c r="G407" s="88">
        <f>'50 изоляция'!G501*0.9</f>
        <v>3887.9775</v>
      </c>
      <c r="H407" s="8">
        <f>'50 изоляция'!H501*0.9</f>
        <v>4001.8275</v>
      </c>
      <c r="I407" s="8">
        <f>'50 изоляция'!I501*0.9</f>
        <v>4311.4995</v>
      </c>
      <c r="J407" s="88">
        <f>'50 изоляция'!J501*0.9</f>
        <v>4943.367</v>
      </c>
      <c r="K407" s="8">
        <f>'50 изоляция'!K501*0.9</f>
        <v>5794.965</v>
      </c>
      <c r="L407" s="8">
        <f>'50 изоляция'!L501*0.9</f>
        <v>6305.013</v>
      </c>
      <c r="M407" s="8">
        <f>'50 изоляция'!M501*0.9</f>
        <v>6611.2695</v>
      </c>
    </row>
    <row r="408" ht="19.5" customHeight="1" spans="1:13">
      <c r="A408" s="89" t="s">
        <v>21</v>
      </c>
      <c r="B408" s="8">
        <f>'50 изоляция'!B502*0.9</f>
        <v>2415.897</v>
      </c>
      <c r="C408" s="8">
        <f>'50 изоляция'!C502*0.9</f>
        <v>2467.1295</v>
      </c>
      <c r="D408" s="88">
        <f>'50 изоляция'!D502*0.9</f>
        <v>2593.503</v>
      </c>
      <c r="E408" s="8">
        <f>'50 изоляция'!E502*0.9</f>
        <v>2680.029</v>
      </c>
      <c r="F408" s="8">
        <f>'50 изоляция'!F502*0.9</f>
        <v>2911.1445</v>
      </c>
      <c r="G408" s="88">
        <f>'50 изоляция'!G502*0.9</f>
        <v>3034.1025</v>
      </c>
      <c r="H408" s="8">
        <f>'50 изоляция'!H502*0.9</f>
        <v>3116.0745</v>
      </c>
      <c r="I408" s="8">
        <f>'50 изоляция'!I502*0.9</f>
        <v>3335.805</v>
      </c>
      <c r="J408" s="88">
        <f>'50 изоляция'!J502*0.9</f>
        <v>3796.8975</v>
      </c>
      <c r="K408" s="8">
        <f>'50 изоляция'!K502*0.9</f>
        <v>4415.103</v>
      </c>
      <c r="L408" s="8">
        <f>'50 изоляция'!L502*0.9</f>
        <v>4786.254</v>
      </c>
      <c r="M408" s="8">
        <f>'50 изоляция'!M502*0.9</f>
        <v>5008.2615</v>
      </c>
    </row>
    <row r="409" ht="19.5" customHeight="1" spans="1:13">
      <c r="A409" s="89" t="s">
        <v>22</v>
      </c>
      <c r="B409" s="8">
        <f>'50 изоляция'!B503*0.9</f>
        <v>1820.4615</v>
      </c>
      <c r="C409" s="8">
        <f>'50 изоляция'!C503*0.9</f>
        <v>1848.924</v>
      </c>
      <c r="D409" s="88">
        <f>'50 изоляция'!D503*0.9</f>
        <v>1919.511</v>
      </c>
      <c r="E409" s="8">
        <f>'50 изоляция'!E503*0.9</f>
        <v>1968.4665</v>
      </c>
      <c r="F409" s="8">
        <f>'50 изоляция'!F503*0.9</f>
        <v>2100.5325</v>
      </c>
      <c r="G409" s="88">
        <f>'50 изоляция'!G503*0.9</f>
        <v>2185.92</v>
      </c>
      <c r="H409" s="8">
        <f>'50 изоляция'!H503*0.9</f>
        <v>2231.46</v>
      </c>
      <c r="I409" s="8">
        <f>'50 изоляция'!I503*0.9</f>
        <v>2356.695</v>
      </c>
      <c r="J409" s="88">
        <f>'50 изоляция'!J503*0.9</f>
        <v>2635.6275</v>
      </c>
      <c r="K409" s="8">
        <f>'50 изоляция'!K503*0.9</f>
        <v>3001.086</v>
      </c>
      <c r="L409" s="8">
        <f>'50 изоляция'!L503*0.9</f>
        <v>3220.8165</v>
      </c>
      <c r="M409" s="8">
        <f>'50 изоляция'!M503*0.9</f>
        <v>3352.8825</v>
      </c>
    </row>
    <row r="410" ht="19.5" customHeight="1" spans="1:13">
      <c r="A410" s="89" t="s">
        <v>23</v>
      </c>
      <c r="B410" s="8">
        <f>'50 изоляция'!B504*0.9</f>
        <v>5471.631</v>
      </c>
      <c r="C410" s="8">
        <f>'50 изоляция'!C504*0.9</f>
        <v>5837.0895</v>
      </c>
      <c r="D410" s="88">
        <f>'50 изоляция'!D504*0.9</f>
        <v>6418.863</v>
      </c>
      <c r="E410" s="8">
        <f>'50 изоляция'!E504*0.9</f>
        <v>6842.385</v>
      </c>
      <c r="F410" s="8">
        <f>'50 изоляция'!F504*0.9</f>
        <v>7395.696</v>
      </c>
      <c r="G410" s="88">
        <f>'50 изоляция'!G504*0.9</f>
        <v>8135.721</v>
      </c>
      <c r="H410" s="8">
        <f>'50 изоляция'!H504*0.9</f>
        <v>8874.6075</v>
      </c>
      <c r="I410" s="8">
        <f>'50 изоляция'!I504*0.9</f>
        <v>9156.9555</v>
      </c>
      <c r="J410" s="88">
        <f>'50 изоляция'!J504*0.9</f>
        <v>10070.0325</v>
      </c>
      <c r="K410" s="8">
        <f>'50 изоляция'!K504*0.9</f>
        <v>12694.275</v>
      </c>
      <c r="L410" s="8">
        <f>'50 изоляция'!L504*0.9</f>
        <v>14268.8205</v>
      </c>
      <c r="M410" s="8">
        <f>'50 изоляция'!M504*0.9</f>
        <v>15318.5175</v>
      </c>
    </row>
    <row r="411" ht="19.5" customHeight="1" spans="1:13">
      <c r="A411" s="89" t="s">
        <v>24</v>
      </c>
      <c r="B411" s="8">
        <f>'50 изоляция'!B505*0.9</f>
        <v>6200.271</v>
      </c>
      <c r="C411" s="8">
        <f>'50 изоляция'!C505*0.9</f>
        <v>5541.0795</v>
      </c>
      <c r="D411" s="88">
        <f>'50 изоляция'!D505*0.9</f>
        <v>6122.853</v>
      </c>
      <c r="E411" s="8">
        <f>'50 изоляция'!E505*0.9</f>
        <v>6546.375</v>
      </c>
      <c r="F411" s="8">
        <f>'50 изоляция'!F505*0.9</f>
        <v>7099.686</v>
      </c>
      <c r="G411" s="88">
        <f>'50 изоляция'!G505*0.9</f>
        <v>7839.711</v>
      </c>
      <c r="H411" s="8">
        <f>'50 изоляция'!H505*0.9</f>
        <v>8578.5975</v>
      </c>
      <c r="I411" s="8">
        <f>'50 изоляция'!I505*0.9</f>
        <v>8860.9455</v>
      </c>
      <c r="J411" s="88">
        <f>'50 изоляция'!J505*0.9</f>
        <v>9774.0225</v>
      </c>
      <c r="K411" s="8">
        <f>'50 изоляция'!K505*0.9</f>
        <v>12398.265</v>
      </c>
      <c r="L411" s="8">
        <f>'50 изоляция'!L505*0.9</f>
        <v>13972.8105</v>
      </c>
      <c r="M411" s="8">
        <f>'50 изоляция'!M505*0.9</f>
        <v>15022.5075</v>
      </c>
    </row>
    <row r="412" ht="19.5" customHeight="1" spans="1:13">
      <c r="A412" s="89" t="s">
        <v>26</v>
      </c>
      <c r="B412" s="8">
        <f>'50 изоляция'!B506*0.9</f>
        <v>6481.4805</v>
      </c>
      <c r="C412" s="8">
        <f>'50 изоляция'!C506*0.9</f>
        <v>7098.5475</v>
      </c>
      <c r="D412" s="88">
        <f>'50 изоляция'!D506*0.9</f>
        <v>7647.3045</v>
      </c>
      <c r="E412" s="8">
        <f>'50 изоляция'!E506*0.9</f>
        <v>8237.0475</v>
      </c>
      <c r="F412" s="8">
        <f>'50 изоляция'!F506*0.9</f>
        <v>8570.628</v>
      </c>
      <c r="G412" s="88">
        <f>'50 изоляция'!G506*0.9</f>
        <v>9219.573</v>
      </c>
      <c r="H412" s="8">
        <f>'50 изоляция'!H506*0.9</f>
        <v>9631.71</v>
      </c>
      <c r="I412" s="8">
        <f>'50 изоляция'!I506*0.9</f>
        <v>10531.125</v>
      </c>
      <c r="J412" s="88">
        <f>'50 изоляция'!J506*0.9</f>
        <v>11682.1485</v>
      </c>
      <c r="K412" s="8">
        <f>'50 изоляция'!K506*0.9</f>
        <v>14468.058</v>
      </c>
      <c r="L412" s="8">
        <f>'50 изоляция'!L506*0.9</f>
        <v>16138.2375</v>
      </c>
      <c r="M412" s="8">
        <f>'50 изоляция'!M506*0.9</f>
        <v>17252.829</v>
      </c>
    </row>
    <row r="413" ht="19.5" customHeight="1" spans="1:13">
      <c r="A413" s="89" t="s">
        <v>27</v>
      </c>
      <c r="B413" s="8">
        <f>'50 изоляция'!B507*0.9</f>
        <v>8551.2735</v>
      </c>
      <c r="C413" s="8">
        <f>'50 изоляция'!C507*0.9</f>
        <v>8982.765</v>
      </c>
      <c r="D413" s="88">
        <f>'50 изоляция'!D507*0.9</f>
        <v>9324.315</v>
      </c>
      <c r="E413" s="8">
        <f>'50 изоляция'!E507*0.9</f>
        <v>9866.241</v>
      </c>
      <c r="F413" s="8">
        <f>'50 изоляция'!F507*0.9</f>
        <v>10428.66</v>
      </c>
      <c r="G413" s="88">
        <f>'50 изоляция'!G507*0.9</f>
        <v>11289.366</v>
      </c>
      <c r="H413" s="8">
        <f>'50 изоляция'!H507*0.9</f>
        <v>12014.5905</v>
      </c>
      <c r="I413" s="8">
        <f>'50 изоляция'!I507*0.9</f>
        <v>13621.014</v>
      </c>
      <c r="J413" s="88">
        <f>'50 изоляция'!J507*0.9</f>
        <v>16079.0355</v>
      </c>
      <c r="K413" s="8">
        <f>'50 изоляция'!K507*0.9</f>
        <v>19468.35</v>
      </c>
      <c r="L413" s="8">
        <f>'50 изоляция'!L507*0.9</f>
        <v>21501.711</v>
      </c>
      <c r="M413" s="8">
        <f>'50 изоляция'!M507*0.9</f>
        <v>22722.183</v>
      </c>
    </row>
    <row r="414" ht="19.5" customHeight="1" spans="1:13">
      <c r="A414" s="89" t="s">
        <v>70</v>
      </c>
      <c r="B414" s="8">
        <f>'50 изоляция'!B508*0.9</f>
        <v>15269.562</v>
      </c>
      <c r="C414" s="8">
        <f>'50 изоляция'!C508*0.9</f>
        <v>15788.718</v>
      </c>
      <c r="D414" s="88">
        <f>'50 изоляция'!D508*0.9</f>
        <v>16222.4865</v>
      </c>
      <c r="E414" s="8">
        <f>'50 изоляция'!E508*0.9</f>
        <v>16713.18</v>
      </c>
      <c r="F414" s="8">
        <f>'50 изоляция'!F508*0.9</f>
        <v>17261.937</v>
      </c>
      <c r="G414" s="88">
        <f>'50 изоляция'!G508*0.9</f>
        <v>18478.9935</v>
      </c>
      <c r="H414" s="8">
        <f>'50 изоляция'!H508*0.9</f>
        <v>19141.6005</v>
      </c>
      <c r="I414" s="8">
        <f>'50 изоляция'!I508*0.9</f>
        <v>20576.1105</v>
      </c>
      <c r="J414" s="88">
        <f>'50 изоляция'!J508*0.9</f>
        <v>23001.1155</v>
      </c>
      <c r="K414" s="8">
        <f>'50 изоляция'!K508*0.9</f>
        <v>27218.1195</v>
      </c>
      <c r="L414" s="8">
        <f>'50 изоляция'!L508*0.9</f>
        <v>29747.8665</v>
      </c>
      <c r="M414" s="8">
        <f>'50 изоляция'!M508*0.9</f>
        <v>31266.6255</v>
      </c>
    </row>
    <row r="415" ht="19.5" customHeight="1" spans="1:13">
      <c r="A415" s="89" t="s">
        <v>32</v>
      </c>
      <c r="B415" s="8">
        <f>'50 изоляция'!B509*0.9</f>
        <v>1771.506</v>
      </c>
      <c r="C415" s="8">
        <f>'50 изоляция'!C509*0.9</f>
        <v>1805.661</v>
      </c>
      <c r="D415" s="88">
        <f>'50 изоляция'!D509*0.9</f>
        <v>1924.065</v>
      </c>
      <c r="E415" s="8">
        <f>'50 изоляция'!E509*0.9</f>
        <v>2116.4715</v>
      </c>
      <c r="F415" s="8">
        <f>'50 изоляция'!F509*0.9</f>
        <v>2263.338</v>
      </c>
      <c r="G415" s="88">
        <f>'50 изоляция'!G509*0.9</f>
        <v>2391.9885</v>
      </c>
      <c r="H415" s="8">
        <f>'50 изоляция'!H509*0.9</f>
        <v>2584.395</v>
      </c>
      <c r="I415" s="8">
        <f>'50 изоляция'!I509*0.9</f>
        <v>2664.09</v>
      </c>
      <c r="J415" s="88">
        <f>'50 изоляция'!J509*0.9</f>
        <v>2960.1</v>
      </c>
      <c r="K415" s="8">
        <f>'50 изоляция'!K509*0.9</f>
        <v>3365.406</v>
      </c>
      <c r="L415" s="8">
        <f>'50 изоляция'!L509*0.9</f>
        <v>3607.9065</v>
      </c>
      <c r="M415" s="8">
        <f>'50 изоляция'!M509*0.9</f>
        <v>3754.773</v>
      </c>
    </row>
    <row r="416" ht="19.5" customHeight="1" spans="1:13">
      <c r="A416" s="89" t="s">
        <v>81</v>
      </c>
      <c r="B416" s="8">
        <f>'50 изоляция'!B510*0.9</f>
        <v>4957.029</v>
      </c>
      <c r="C416" s="8">
        <f>'50 изоляция'!C510*0.9</f>
        <v>5166.513</v>
      </c>
      <c r="D416" s="88">
        <f>'50 изоляция'!D510*0.9</f>
        <v>5238.2385</v>
      </c>
      <c r="E416" s="8">
        <f>'50 изоляция'!E510*0.9</f>
        <v>5470.4925</v>
      </c>
      <c r="F416" s="8">
        <f>'50 изоляция'!F510*0.9</f>
        <v>5718.6855</v>
      </c>
      <c r="G416" s="88">
        <f>'50 изоляция'!G510*0.9</f>
        <v>6318.675</v>
      </c>
      <c r="H416" s="8">
        <f>'50 изоляция'!H510*0.9</f>
        <v>6744.474</v>
      </c>
      <c r="I416" s="8">
        <f>'50 изоляция'!I510*0.9</f>
        <v>7413.912</v>
      </c>
      <c r="J416" s="88">
        <f>'50 изоляция'!J510*0.9</f>
        <v>8296.2495</v>
      </c>
      <c r="K416" s="8">
        <f>'50 изоляция'!K510*0.9</f>
        <v>10198.683</v>
      </c>
      <c r="L416" s="8">
        <f>'50 изоляция'!L510*0.9</f>
        <v>11341.737</v>
      </c>
      <c r="M416" s="8">
        <f>'50 изоляция'!M510*0.9</f>
        <v>12027.114</v>
      </c>
    </row>
    <row r="417" ht="19.5" customHeight="1" spans="1:13">
      <c r="A417" s="89" t="s">
        <v>82</v>
      </c>
      <c r="B417" s="8">
        <f>'50 изоляция'!B511*0.9</f>
        <v>6437.079</v>
      </c>
      <c r="C417" s="8">
        <f>'50 изоляция'!C511*0.9</f>
        <v>6646.563</v>
      </c>
      <c r="D417" s="88">
        <f>'50 изоляция'!D511*0.9</f>
        <v>6718.2885</v>
      </c>
      <c r="E417" s="8">
        <f>'50 изоляция'!E511*0.9</f>
        <v>6950.5425</v>
      </c>
      <c r="F417" s="8">
        <f>'50 изоляция'!F511*0.9</f>
        <v>7198.7355</v>
      </c>
      <c r="G417" s="88">
        <f>'50 изоляция'!G511*0.9</f>
        <v>7798.725</v>
      </c>
      <c r="H417" s="8">
        <f>'50 изоляция'!H511*0.9</f>
        <v>8224.524</v>
      </c>
      <c r="I417" s="8">
        <f>'50 изоляция'!I511*0.9</f>
        <v>8893.962</v>
      </c>
      <c r="J417" s="88">
        <f>'50 изоляция'!J511*0.9</f>
        <v>9776.2995</v>
      </c>
      <c r="K417" s="8">
        <f>'50 изоляция'!K511*0.9</f>
        <v>11678.733</v>
      </c>
      <c r="L417" s="8">
        <f>'50 изоляция'!L511*0.9</f>
        <v>12821.787</v>
      </c>
      <c r="M417" s="8">
        <f>'50 изоляция'!M511*0.9</f>
        <v>13507.164</v>
      </c>
    </row>
    <row r="418" ht="19.5" customHeight="1" spans="1:13">
      <c r="A418" s="89" t="s">
        <v>39</v>
      </c>
      <c r="B418" s="8">
        <f>'50 изоляция'!B512*0.9</f>
        <v>4440.15</v>
      </c>
      <c r="C418" s="8">
        <f>'50 изоляция'!C512*0.9</f>
        <v>5018.508</v>
      </c>
      <c r="D418" s="88">
        <f>'50 изоляция'!D512*0.9</f>
        <v>5090.2335</v>
      </c>
      <c r="E418" s="8">
        <f>'50 изоляция'!E512*0.9</f>
        <v>5322.4875</v>
      </c>
      <c r="F418" s="8">
        <f>'50 изоляция'!F512*0.9</f>
        <v>5570.6805</v>
      </c>
      <c r="G418" s="88">
        <f>'50 изоляция'!G512*0.9</f>
        <v>6022.665</v>
      </c>
      <c r="H418" s="8">
        <f>'50 изоляция'!H512*0.9</f>
        <v>6300.459</v>
      </c>
      <c r="I418" s="8">
        <f>'50 изоляция'!I512*0.9</f>
        <v>6821.892</v>
      </c>
      <c r="J418" s="88">
        <f>'50 изоляция'!J512*0.9</f>
        <v>7551.6705</v>
      </c>
      <c r="K418" s="8">
        <f>'50 изоляция'!K512*0.9</f>
        <v>9310.653</v>
      </c>
      <c r="L418" s="8">
        <f>'50 изоляция'!L512*0.9</f>
        <v>10366.0425</v>
      </c>
      <c r="M418" s="8">
        <f>'50 изоляция'!M512*0.9</f>
        <v>11000.187</v>
      </c>
    </row>
    <row r="419" ht="19.5" customHeight="1" spans="1:1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</row>
    <row r="420" ht="19.5" customHeight="1" spans="1:1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</row>
    <row r="421" ht="19.5" customHeight="1" spans="1:1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</row>
    <row r="422" ht="19.5" customHeight="1" spans="1:1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</row>
    <row r="423" ht="19.5" customHeight="1" spans="1:1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</row>
    <row r="424" ht="19.5" customHeight="1" spans="1:1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</row>
    <row r="425" ht="19.5" customHeight="1" spans="1:1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</row>
    <row r="426" ht="19.5" customHeight="1" spans="1:1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</row>
    <row r="427" ht="19.5" customHeight="1" spans="1:1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</row>
    <row r="428" ht="19.5" customHeight="1" spans="1:1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</row>
    <row r="429" ht="19.5" customHeight="1" spans="1:1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</row>
    <row r="430" ht="19.5" customHeight="1" spans="1:1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</row>
    <row r="431" ht="19.5" customHeight="1" spans="1:1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</row>
    <row r="432" ht="19.5" customHeight="1" spans="1:1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</row>
    <row r="433" ht="19.5" customHeight="1" spans="1:1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</row>
    <row r="434" ht="19.5" customHeight="1" spans="1:1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</row>
    <row r="435" ht="19.5" customHeight="1" spans="1:1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</row>
    <row r="436" ht="19.5" customHeight="1" spans="1:1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</row>
    <row r="437" ht="19.5" customHeight="1" spans="1:1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</row>
    <row r="438" ht="19.5" customHeight="1" spans="1:1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</row>
    <row r="439" ht="19.5" customHeight="1" spans="1:1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</row>
    <row r="440" ht="19.5" customHeight="1" spans="1:1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</row>
    <row r="441" ht="19.5" customHeight="1" spans="1:1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</row>
    <row r="442" ht="19.5" customHeight="1" spans="1:1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</row>
    <row r="443" ht="19.5" customHeight="1" spans="1:1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</row>
    <row r="444" ht="19.5" customHeight="1" spans="1:1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</row>
    <row r="445" ht="19.5" customHeight="1" spans="1:1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</row>
    <row r="446" ht="19.5" customHeight="1" spans="1:1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</row>
    <row r="447" ht="19.5" customHeight="1" spans="1:1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</row>
    <row r="448" ht="19.5" customHeight="1" spans="1:1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</row>
    <row r="449" ht="19.5" customHeight="1" spans="1:1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</row>
    <row r="450" ht="19.5" customHeight="1" spans="1:1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</row>
    <row r="451" ht="19.5" customHeight="1" spans="1:1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</row>
    <row r="452" ht="19.5" customHeight="1" spans="1:1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</row>
    <row r="453" ht="19.5" customHeight="1" spans="1:1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</row>
    <row r="454" ht="19.5" customHeight="1" spans="1:1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</row>
    <row r="455" ht="19.5" customHeight="1" spans="1:1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</row>
    <row r="456" ht="19.5" customHeight="1" spans="1:1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</row>
    <row r="457" ht="19.5" customHeight="1" spans="1:1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</row>
    <row r="458" ht="19.5" customHeight="1" spans="1:1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</row>
    <row r="459" ht="19.5" customHeight="1" spans="1:1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</row>
    <row r="460" ht="19.5" customHeight="1" spans="1:1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</row>
    <row r="461" ht="19.5" customHeight="1" spans="1:1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</row>
    <row r="462" ht="19.5" customHeight="1" spans="1:1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</row>
    <row r="463" ht="19.5" customHeight="1" spans="1:1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</row>
    <row r="464" ht="19.5" customHeight="1" spans="1:1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</row>
    <row r="465" ht="19.5" customHeight="1" spans="1:1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</row>
    <row r="466" ht="19.5" customHeight="1" spans="1:1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</row>
    <row r="467" ht="19.5" customHeight="1" spans="1:1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</row>
    <row r="468" ht="19.5" customHeight="1" spans="1:1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</row>
    <row r="469" ht="19.5" customHeight="1" spans="1:1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</row>
    <row r="470" ht="19.5" customHeight="1" spans="1:1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</row>
    <row r="471" ht="19.5" customHeight="1" spans="1:1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</row>
    <row r="472" ht="19.5" customHeight="1" spans="1:1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</row>
    <row r="473" ht="19.5" customHeight="1" spans="1:1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</row>
    <row r="474" ht="19.5" customHeight="1" spans="1:1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</row>
    <row r="475" ht="19.5" customHeight="1" spans="1:1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</row>
    <row r="476" ht="19.5" customHeight="1" spans="1:1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</row>
    <row r="477" ht="19.5" customHeight="1" spans="1:1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</row>
    <row r="478" ht="19.5" customHeight="1" spans="1:1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</row>
    <row r="479" ht="19.5" customHeight="1" spans="1:1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</row>
    <row r="480" ht="19.5" customHeight="1" spans="1:1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</row>
    <row r="481" ht="19.5" customHeight="1" spans="1:1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</row>
    <row r="482" ht="19.5" customHeight="1" spans="1:1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</row>
    <row r="483" ht="19.5" customHeight="1" spans="1:1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</row>
    <row r="484" ht="19.5" customHeight="1" spans="1:1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</row>
    <row r="485" ht="19.5" customHeight="1" spans="1:1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</row>
    <row r="486" ht="19.5" customHeight="1" spans="1:1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</row>
    <row r="487" ht="19.5" customHeight="1" spans="1:1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</row>
    <row r="488" ht="19.5" customHeight="1" spans="1:1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</row>
    <row r="489" ht="19.5" customHeight="1" spans="1:1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</row>
    <row r="490" ht="19.5" customHeight="1" spans="1:1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</row>
    <row r="491" ht="19.5" customHeight="1" spans="1:1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</row>
    <row r="492" ht="19.5" customHeight="1" spans="1:1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</row>
    <row r="493" ht="19.5" customHeight="1" spans="1:1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</row>
    <row r="494" ht="19.5" customHeight="1" spans="1:1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</row>
    <row r="495" ht="19.5" customHeight="1" spans="1:1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</row>
    <row r="496" ht="19.5" customHeight="1" spans="1:1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</row>
    <row r="497" ht="19.5" customHeight="1" spans="1:1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</row>
    <row r="498" ht="19.5" customHeight="1" spans="1:1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</row>
    <row r="499" ht="19.5" customHeight="1" spans="1:1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</row>
    <row r="500" ht="19.5" customHeight="1" spans="1:1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</row>
    <row r="501" ht="19.5" customHeight="1" spans="1:1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</row>
    <row r="502" ht="19.5" customHeight="1" spans="1:1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</row>
    <row r="503" ht="19.5" customHeight="1" spans="1:1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</row>
    <row r="504" ht="19.5" customHeight="1" spans="1:1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</row>
    <row r="505" ht="19.5" customHeight="1" spans="1:1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</row>
    <row r="506" ht="19.5" customHeight="1" spans="1:1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</row>
    <row r="507" ht="19.5" customHeight="1" spans="1:1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</row>
    <row r="508" ht="19.5" customHeight="1" spans="1:1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</row>
    <row r="509" ht="19.5" customHeight="1" spans="1:1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</row>
    <row r="510" ht="19.5" customHeight="1" spans="1:1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</row>
    <row r="511" ht="19.5" customHeight="1" spans="1:1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</row>
    <row r="512" ht="19.5" customHeight="1" spans="1:1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</row>
    <row r="513" ht="19.5" customHeight="1" spans="1: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</row>
    <row r="514" ht="19.5" customHeight="1" spans="1:1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</row>
    <row r="515" ht="19.5" customHeight="1" spans="1:1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</row>
    <row r="516" ht="19.5" customHeight="1" spans="1:1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</row>
    <row r="517" ht="19.5" customHeight="1" spans="1:1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</row>
    <row r="518" ht="19.5" customHeight="1" spans="1:1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</row>
    <row r="519" ht="19.5" customHeight="1" spans="1:1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</row>
    <row r="520" ht="19.5" customHeight="1" spans="1:1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</row>
    <row r="521" ht="19.5" customHeight="1" spans="1:1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</row>
    <row r="522" ht="19.5" customHeight="1" spans="1:1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</row>
    <row r="523" ht="19.5" customHeight="1" spans="1:1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</row>
    <row r="524" ht="19.5" customHeight="1" spans="1:1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</row>
    <row r="525" ht="19.5" customHeight="1" spans="1:1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</row>
    <row r="526" ht="19.5" customHeight="1" spans="1:1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</row>
    <row r="527" ht="19.5" customHeight="1" spans="1:1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</row>
    <row r="528" ht="19.5" customHeight="1" spans="1:1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</row>
    <row r="529" ht="19.5" customHeight="1" spans="1:1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</row>
    <row r="530" ht="19.5" customHeight="1" spans="1:1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</row>
    <row r="531" ht="19.5" customHeight="1" spans="1:1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</row>
    <row r="532" ht="19.5" customHeight="1" spans="1:1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</row>
    <row r="533" ht="19.5" customHeight="1" spans="1:1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</row>
    <row r="534" ht="19.5" customHeight="1" spans="1:1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</row>
    <row r="535" ht="19.5" customHeight="1" spans="1:1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</row>
    <row r="536" ht="19.5" customHeight="1" spans="1:1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</row>
    <row r="537" ht="19.5" customHeight="1" spans="1:1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</row>
    <row r="538" ht="19.5" customHeight="1" spans="1:1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</row>
    <row r="539" ht="19.5" customHeight="1" spans="1:1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</row>
    <row r="540" ht="19.5" customHeight="1" spans="1:1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</row>
    <row r="541" ht="19.5" customHeight="1" spans="1:1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</row>
    <row r="542" ht="19.5" customHeight="1" spans="1:1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</row>
    <row r="543" ht="19.5" customHeight="1" spans="1:1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</row>
    <row r="544" ht="19.5" customHeight="1" spans="1:1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</row>
    <row r="545" ht="19.5" customHeight="1" spans="1:1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</row>
    <row r="546" ht="19.5" customHeight="1" spans="1:1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</row>
    <row r="547" ht="19.5" customHeight="1" spans="1:1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</row>
    <row r="548" ht="19.5" customHeight="1" spans="1:1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</row>
    <row r="549" ht="19.5" customHeight="1" spans="1:1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</row>
    <row r="550" ht="19.5" customHeight="1" spans="1:1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</row>
    <row r="551" ht="19.5" customHeight="1" spans="1:1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</row>
    <row r="552" ht="19.5" customHeight="1" spans="1:1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</row>
    <row r="553" ht="19.5" customHeight="1" spans="1:1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</row>
    <row r="554" ht="19.5" customHeight="1" spans="1:1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</row>
    <row r="555" ht="19.5" customHeight="1" spans="1:1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</row>
    <row r="556" ht="19.5" customHeight="1" spans="1:1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</row>
    <row r="557" ht="19.5" customHeight="1" spans="1:1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</row>
    <row r="558" ht="19.5" customHeight="1" spans="1:1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</row>
    <row r="559" ht="19.5" customHeight="1" spans="1:1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</row>
    <row r="560" ht="19.5" customHeight="1" spans="1:1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</row>
    <row r="561" ht="19.5" customHeight="1" spans="1:1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</row>
    <row r="562" ht="19.5" customHeight="1" spans="1:1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</row>
    <row r="563" ht="19.5" customHeight="1" spans="1:1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</row>
    <row r="564" ht="19.5" customHeight="1" spans="1:1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</row>
    <row r="565" ht="19.5" customHeight="1" spans="1:1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</row>
    <row r="566" ht="19.5" customHeight="1" spans="1:1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</row>
    <row r="567" ht="19.5" customHeight="1" spans="1:1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</row>
    <row r="568" ht="19.5" customHeight="1" spans="1:1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</row>
    <row r="569" ht="19.5" customHeight="1" spans="1:1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</row>
    <row r="570" ht="19.5" customHeight="1" spans="1:1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</row>
    <row r="571" ht="19.5" customHeight="1" spans="1:1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</row>
    <row r="572" ht="19.5" customHeight="1" spans="1:1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</row>
    <row r="573" ht="19.5" customHeight="1" spans="1:1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</row>
    <row r="574" ht="19.5" customHeight="1" spans="1:1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</row>
    <row r="575" ht="19.5" customHeight="1" spans="1:1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</row>
    <row r="576" ht="19.5" customHeight="1" spans="1:1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</row>
    <row r="577" ht="19.5" customHeight="1" spans="1:1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</row>
    <row r="578" ht="19.5" customHeight="1" spans="1:1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</row>
    <row r="579" ht="19.5" customHeight="1" spans="1:1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</row>
    <row r="580" ht="19.5" customHeight="1" spans="1:1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</row>
    <row r="581" ht="19.5" customHeight="1" spans="1:1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</row>
    <row r="582" ht="19.5" customHeight="1" spans="1:1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</row>
    <row r="583" ht="19.5" customHeight="1" spans="1:1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</row>
    <row r="584" ht="19.5" customHeight="1" spans="1:1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</row>
    <row r="585" ht="19.5" customHeight="1" spans="1:1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</row>
    <row r="586" ht="19.5" customHeight="1" spans="1:1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</row>
    <row r="587" ht="19.5" customHeight="1" spans="1:1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</row>
    <row r="588" ht="19.5" customHeight="1" spans="1:1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</row>
    <row r="589" ht="19.5" customHeight="1" spans="1:1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</row>
    <row r="590" ht="19.5" customHeight="1" spans="1:1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</row>
    <row r="591" ht="19.5" customHeight="1" spans="1:1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</row>
    <row r="592" ht="19.5" customHeight="1" spans="1:1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</row>
    <row r="593" ht="19.5" customHeight="1" spans="1:1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</row>
    <row r="594" ht="19.5" customHeight="1" spans="1:1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</row>
    <row r="595" ht="19.5" customHeight="1" spans="1:1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</row>
    <row r="596" ht="19.5" customHeight="1" spans="1:1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</row>
    <row r="597" ht="19.5" customHeight="1" spans="1:1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</row>
    <row r="598" ht="19.5" customHeight="1" spans="1:1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</row>
    <row r="599" ht="19.5" customHeight="1" spans="1:1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</row>
    <row r="600" ht="19.5" customHeight="1" spans="1:1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</row>
    <row r="601" ht="19.5" customHeight="1" spans="1:1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</row>
    <row r="602" ht="19.5" customHeight="1" spans="1:1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</row>
    <row r="603" ht="19.5" customHeight="1" spans="1:1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</row>
    <row r="604" ht="19.5" customHeight="1" spans="1:1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</row>
    <row r="605" ht="19.5" customHeight="1" spans="1:1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</row>
    <row r="606" ht="19.5" customHeight="1" spans="1:1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</row>
    <row r="607" ht="19.5" customHeight="1" spans="1:1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</row>
    <row r="608" ht="19.5" customHeight="1" spans="1:1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</row>
    <row r="609" ht="19.5" customHeight="1" spans="1:1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</row>
    <row r="610" ht="19.5" customHeight="1" spans="1:1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</row>
    <row r="611" ht="19.5" customHeight="1" spans="1:1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</row>
    <row r="612" ht="19.5" customHeight="1" spans="1:1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</row>
    <row r="613" ht="19.5" customHeight="1" spans="1: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</row>
    <row r="614" ht="19.5" customHeight="1" spans="1:1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</row>
    <row r="615" ht="19.5" customHeight="1" spans="1:1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</row>
    <row r="616" ht="19.5" customHeight="1" spans="1:1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</row>
    <row r="617" ht="19.5" customHeight="1" spans="1:1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</row>
    <row r="618" ht="19.5" customHeight="1" spans="1:1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</row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</sheetData>
  <mergeCells count="63">
    <mergeCell ref="A1:M1"/>
    <mergeCell ref="A24:M24"/>
    <mergeCell ref="A27:I27"/>
    <mergeCell ref="A28:I28"/>
    <mergeCell ref="A29:I29"/>
    <mergeCell ref="A48:M48"/>
    <mergeCell ref="A51:I51"/>
    <mergeCell ref="A52:I52"/>
    <mergeCell ref="A53:I53"/>
    <mergeCell ref="A71:M71"/>
    <mergeCell ref="A74:I74"/>
    <mergeCell ref="A75:I75"/>
    <mergeCell ref="A76:I76"/>
    <mergeCell ref="A94:M94"/>
    <mergeCell ref="A97:J97"/>
    <mergeCell ref="A98:J98"/>
    <mergeCell ref="A99:I99"/>
    <mergeCell ref="A118:M118"/>
    <mergeCell ref="A121:J121"/>
    <mergeCell ref="A122:J122"/>
    <mergeCell ref="A123:J123"/>
    <mergeCell ref="A141:M141"/>
    <mergeCell ref="A144:J144"/>
    <mergeCell ref="A145:J145"/>
    <mergeCell ref="A146:J146"/>
    <mergeCell ref="A164:M164"/>
    <mergeCell ref="A167:J167"/>
    <mergeCell ref="A168:J168"/>
    <mergeCell ref="A169:J169"/>
    <mergeCell ref="A187:M187"/>
    <mergeCell ref="A190:J190"/>
    <mergeCell ref="A191:J191"/>
    <mergeCell ref="A192:J192"/>
    <mergeCell ref="A211:M211"/>
    <mergeCell ref="A234:M234"/>
    <mergeCell ref="A237:I237"/>
    <mergeCell ref="A238:I238"/>
    <mergeCell ref="A239:I239"/>
    <mergeCell ref="A257:M257"/>
    <mergeCell ref="A280:M280"/>
    <mergeCell ref="A304:M304"/>
    <mergeCell ref="A327:M327"/>
    <mergeCell ref="A350:M350"/>
    <mergeCell ref="A373:M373"/>
    <mergeCell ref="A397:M397"/>
    <mergeCell ref="K328:M330"/>
    <mergeCell ref="K351:M353"/>
    <mergeCell ref="K374:M376"/>
    <mergeCell ref="K398:M400"/>
    <mergeCell ref="K258:M260"/>
    <mergeCell ref="K281:M283"/>
    <mergeCell ref="K305:M307"/>
    <mergeCell ref="K2:M4"/>
    <mergeCell ref="K25:M27"/>
    <mergeCell ref="K49:M51"/>
    <mergeCell ref="K72:M74"/>
    <mergeCell ref="K95:M97"/>
    <mergeCell ref="K119:M121"/>
    <mergeCell ref="K142:M144"/>
    <mergeCell ref="K165:M167"/>
    <mergeCell ref="K188:M190"/>
    <mergeCell ref="K212:M214"/>
    <mergeCell ref="K235:M237"/>
  </mergeCells>
  <printOptions horizontalCentered="1" verticalCentered="1"/>
  <pageMargins left="0.7" right="0.7" top="0.75" bottom="0.75" header="0" footer="0"/>
  <pageSetup paperSize="9" orientation="landscape"/>
  <headerFooter/>
  <rowBreaks count="13" manualBreakCount="13">
    <brk id="23" max="0" man="1"/>
    <brk id="47" max="0" man="1"/>
    <brk id="70" max="0" man="1"/>
    <brk id="93" max="0" man="1"/>
    <brk id="140" max="0" man="1"/>
    <brk id="163" max="0" man="1"/>
    <brk id="186" max="0" man="1"/>
    <brk id="233" max="0" man="1"/>
    <brk id="256" max="0" man="1"/>
    <brk id="279" max="0" man="1"/>
    <brk id="326" max="0" man="1"/>
    <brk id="349" max="0" man="1"/>
    <brk id="372" max="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9"/>
  <sheetViews>
    <sheetView workbookViewId="0">
      <selection activeCell="A1" sqref="A1:M1"/>
    </sheetView>
  </sheetViews>
  <sheetFormatPr defaultColWidth="14.4259259259259" defaultRowHeight="15" customHeight="1"/>
  <cols>
    <col min="1" max="1" width="24.712962962963" customWidth="1"/>
    <col min="2" max="4" width="9.57407407407407" customWidth="1"/>
    <col min="5" max="10" width="9" customWidth="1"/>
    <col min="11" max="13" width="9.28703703703704" customWidth="1"/>
    <col min="14" max="14" width="9" customWidth="1"/>
  </cols>
  <sheetData>
    <row r="1" ht="23.25" customHeight="1" spans="1:14">
      <c r="A1" s="8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5"/>
    </row>
    <row r="2" customHeight="1" spans="1:14">
      <c r="A2" s="94"/>
      <c r="B2" s="94"/>
      <c r="C2" s="94"/>
      <c r="D2" s="94"/>
      <c r="E2" s="94"/>
      <c r="F2" s="94"/>
      <c r="G2" s="94"/>
      <c r="H2" s="94"/>
      <c r="I2" s="94"/>
      <c r="J2" s="94"/>
      <c r="K2" s="95" t="s">
        <v>52</v>
      </c>
      <c r="N2" s="15"/>
    </row>
    <row r="3" customHeight="1" spans="1:14">
      <c r="A3" s="15"/>
      <c r="B3" s="94"/>
      <c r="C3" s="94"/>
      <c r="D3" s="94"/>
      <c r="E3" s="94"/>
      <c r="F3" s="94"/>
      <c r="G3" s="94"/>
      <c r="H3" s="94"/>
      <c r="I3" s="94"/>
      <c r="J3" s="94"/>
      <c r="N3" s="15"/>
    </row>
    <row r="4" ht="20.25" customHeight="1" spans="1:14">
      <c r="A4" s="96" t="s">
        <v>53</v>
      </c>
      <c r="J4" s="94"/>
      <c r="N4" s="15"/>
    </row>
    <row r="5" ht="20.25" customHeight="1" spans="1:14">
      <c r="A5" s="96" t="s">
        <v>54</v>
      </c>
      <c r="J5" s="91"/>
      <c r="K5" s="91"/>
      <c r="L5" s="91"/>
      <c r="M5" s="91"/>
      <c r="N5" s="15"/>
    </row>
    <row r="6" ht="21" customHeight="1" spans="1:14">
      <c r="A6" s="97" t="s">
        <v>126</v>
      </c>
      <c r="J6" s="91"/>
      <c r="K6" s="91"/>
      <c r="L6" s="91"/>
      <c r="M6" s="91"/>
      <c r="N6" s="15"/>
    </row>
    <row r="7" ht="30" customHeight="1" spans="1:14">
      <c r="A7" s="98"/>
      <c r="B7" s="99" t="s">
        <v>56</v>
      </c>
      <c r="C7" s="86" t="s">
        <v>57</v>
      </c>
      <c r="D7" s="86" t="s">
        <v>58</v>
      </c>
      <c r="E7" s="86" t="s">
        <v>59</v>
      </c>
      <c r="F7" s="86" t="s">
        <v>60</v>
      </c>
      <c r="G7" s="86" t="s">
        <v>61</v>
      </c>
      <c r="H7" s="86" t="s">
        <v>62</v>
      </c>
      <c r="I7" s="86" t="s">
        <v>63</v>
      </c>
      <c r="J7" s="86" t="s">
        <v>64</v>
      </c>
      <c r="K7" s="86" t="s">
        <v>65</v>
      </c>
      <c r="L7" s="86" t="s">
        <v>66</v>
      </c>
      <c r="M7" s="86" t="s">
        <v>67</v>
      </c>
      <c r="N7" s="15"/>
    </row>
    <row r="8" ht="18.75" customHeight="1" spans="1:14">
      <c r="A8" s="90" t="s">
        <v>68</v>
      </c>
      <c r="B8" s="100">
        <v>2495.625</v>
      </c>
      <c r="C8" s="100">
        <v>2625.7</v>
      </c>
      <c r="D8" s="101">
        <v>2881.3125</v>
      </c>
      <c r="E8" s="100">
        <v>2997.775</v>
      </c>
      <c r="F8" s="100">
        <v>3289.6875</v>
      </c>
      <c r="G8" s="101">
        <v>3521.1</v>
      </c>
      <c r="H8" s="100">
        <v>3743.4375</v>
      </c>
      <c r="I8" s="100">
        <v>4027.7875</v>
      </c>
      <c r="J8" s="101">
        <v>4554.1375</v>
      </c>
      <c r="K8" s="100">
        <v>5345.175</v>
      </c>
      <c r="L8" s="102">
        <v>5820.1</v>
      </c>
      <c r="M8" s="102">
        <v>6137.725</v>
      </c>
      <c r="N8" s="15"/>
    </row>
    <row r="9" ht="18.75" customHeight="1" spans="1:14">
      <c r="A9" s="90" t="s">
        <v>18</v>
      </c>
      <c r="B9" s="100">
        <v>2129.6</v>
      </c>
      <c r="C9" s="100">
        <v>2268.75</v>
      </c>
      <c r="D9" s="101">
        <v>2435.125</v>
      </c>
      <c r="E9" s="100">
        <v>2634.775</v>
      </c>
      <c r="F9" s="100">
        <v>2814.7625</v>
      </c>
      <c r="G9" s="101">
        <v>2956.9375</v>
      </c>
      <c r="H9" s="100">
        <v>3037.1</v>
      </c>
      <c r="I9" s="100">
        <v>3242.8</v>
      </c>
      <c r="J9" s="101">
        <v>3643.6125</v>
      </c>
      <c r="K9" s="100">
        <v>4244.075</v>
      </c>
      <c r="L9" s="102">
        <v>4604.05</v>
      </c>
      <c r="M9" s="102">
        <v>4844.5375</v>
      </c>
      <c r="N9" s="15"/>
    </row>
    <row r="10" ht="18.75" customHeight="1" spans="1:14">
      <c r="A10" s="90" t="s">
        <v>19</v>
      </c>
      <c r="B10" s="100">
        <v>1745.425</v>
      </c>
      <c r="C10" s="100">
        <v>1863.4</v>
      </c>
      <c r="D10" s="101">
        <v>1985.9125</v>
      </c>
      <c r="E10" s="100">
        <v>2158.3375</v>
      </c>
      <c r="F10" s="100">
        <v>2277.825</v>
      </c>
      <c r="G10" s="101">
        <v>2494.1125</v>
      </c>
      <c r="H10" s="100">
        <v>2548.5625</v>
      </c>
      <c r="I10" s="100">
        <v>2684.6875</v>
      </c>
      <c r="J10" s="101">
        <v>2961.475</v>
      </c>
      <c r="K10" s="100">
        <v>3368.3375</v>
      </c>
      <c r="L10" s="102">
        <v>3611.85</v>
      </c>
      <c r="M10" s="102">
        <v>3775.2</v>
      </c>
      <c r="N10" s="15"/>
    </row>
    <row r="11" ht="18.75" customHeight="1" spans="1:14">
      <c r="A11" s="90" t="s">
        <v>20</v>
      </c>
      <c r="B11" s="100">
        <v>1447.4625</v>
      </c>
      <c r="C11" s="100">
        <v>1597.2</v>
      </c>
      <c r="D11" s="101">
        <v>1684.925</v>
      </c>
      <c r="E11" s="100">
        <v>1740.8875</v>
      </c>
      <c r="F11" s="100">
        <v>1902.725</v>
      </c>
      <c r="G11" s="101">
        <v>1994.9875</v>
      </c>
      <c r="H11" s="100">
        <v>2035.825</v>
      </c>
      <c r="I11" s="100">
        <v>2185.5625</v>
      </c>
      <c r="J11" s="101">
        <v>2389.75</v>
      </c>
      <c r="K11" s="100">
        <v>2925.175</v>
      </c>
      <c r="L11" s="102">
        <v>3179.275</v>
      </c>
      <c r="M11" s="102">
        <v>3332.0375</v>
      </c>
      <c r="N11" s="15"/>
    </row>
    <row r="12" ht="18.75" customHeight="1" spans="1:14">
      <c r="A12" s="90" t="s">
        <v>21</v>
      </c>
      <c r="B12" s="100">
        <v>1241.7625</v>
      </c>
      <c r="C12" s="100">
        <v>1294.7</v>
      </c>
      <c r="D12" s="101">
        <v>1353.6875</v>
      </c>
      <c r="E12" s="100">
        <v>1393.0125</v>
      </c>
      <c r="F12" s="100">
        <v>1506.45</v>
      </c>
      <c r="G12" s="101">
        <v>1692.4875</v>
      </c>
      <c r="H12" s="100">
        <v>1719.7125</v>
      </c>
      <c r="I12" s="100">
        <v>1822.5625</v>
      </c>
      <c r="J12" s="101">
        <v>2049.4375</v>
      </c>
      <c r="K12" s="100">
        <v>2357.9875</v>
      </c>
      <c r="L12" s="102">
        <v>2544.025</v>
      </c>
      <c r="M12" s="102">
        <v>2654.4375</v>
      </c>
      <c r="N12" s="15"/>
    </row>
    <row r="13" ht="18.75" customHeight="1" spans="1:14">
      <c r="A13" s="90" t="s">
        <v>22</v>
      </c>
      <c r="B13" s="100">
        <v>1040.6</v>
      </c>
      <c r="C13" s="100">
        <v>1099.5875</v>
      </c>
      <c r="D13" s="101">
        <v>1134.375</v>
      </c>
      <c r="E13" s="100">
        <v>1160.0875</v>
      </c>
      <c r="F13" s="100">
        <v>1228.15</v>
      </c>
      <c r="G13" s="101">
        <v>1279.575</v>
      </c>
      <c r="H13" s="100">
        <v>1296.2125</v>
      </c>
      <c r="I13" s="100">
        <v>1359.7375</v>
      </c>
      <c r="J13" s="101">
        <v>1504.9375</v>
      </c>
      <c r="K13" s="100">
        <v>1692.4875</v>
      </c>
      <c r="L13" s="102">
        <v>1805.925</v>
      </c>
      <c r="M13" s="102">
        <v>1872.475</v>
      </c>
      <c r="N13" s="15"/>
    </row>
    <row r="14" ht="18.75" customHeight="1" spans="1:14">
      <c r="A14" s="90" t="s">
        <v>23</v>
      </c>
      <c r="B14" s="100">
        <v>2870.725</v>
      </c>
      <c r="C14" s="100">
        <v>3037.1</v>
      </c>
      <c r="D14" s="101">
        <v>3204.9875</v>
      </c>
      <c r="E14" s="100">
        <v>3383.4625</v>
      </c>
      <c r="F14" s="100">
        <v>3440.9375</v>
      </c>
      <c r="G14" s="101">
        <v>3610.3375</v>
      </c>
      <c r="H14" s="100">
        <v>3914.35</v>
      </c>
      <c r="I14" s="100">
        <v>4368.1</v>
      </c>
      <c r="J14" s="101">
        <v>5144.0125</v>
      </c>
      <c r="K14" s="100">
        <v>6304.1</v>
      </c>
      <c r="L14" s="102">
        <v>6999.85</v>
      </c>
      <c r="M14" s="102">
        <v>7462.675</v>
      </c>
      <c r="N14" s="15"/>
    </row>
    <row r="15" ht="18.75" customHeight="1" spans="1:14">
      <c r="A15" s="90" t="s">
        <v>24</v>
      </c>
      <c r="B15" s="100">
        <v>2643.85</v>
      </c>
      <c r="C15" s="100">
        <v>2810.225</v>
      </c>
      <c r="D15" s="101">
        <v>2978.1125</v>
      </c>
      <c r="E15" s="100">
        <v>3156.5875</v>
      </c>
      <c r="F15" s="100">
        <v>3214.0625</v>
      </c>
      <c r="G15" s="101">
        <v>3383.4625</v>
      </c>
      <c r="H15" s="100">
        <v>3687.475</v>
      </c>
      <c r="I15" s="100">
        <v>4141.225</v>
      </c>
      <c r="J15" s="101">
        <v>4917.1375</v>
      </c>
      <c r="K15" s="100">
        <v>6077.225</v>
      </c>
      <c r="L15" s="102">
        <v>6772.975</v>
      </c>
      <c r="M15" s="102">
        <v>7235.8</v>
      </c>
      <c r="N15" s="15"/>
    </row>
    <row r="16" ht="18.75" customHeight="1" spans="1:14">
      <c r="A16" s="90" t="s">
        <v>69</v>
      </c>
      <c r="B16" s="100">
        <v>4369.6125</v>
      </c>
      <c r="C16" s="100">
        <v>4540.525</v>
      </c>
      <c r="D16" s="101">
        <v>4800.675</v>
      </c>
      <c r="E16" s="100">
        <v>4948.9</v>
      </c>
      <c r="F16" s="100">
        <v>5157.625</v>
      </c>
      <c r="G16" s="101">
        <v>5514.575</v>
      </c>
      <c r="H16" s="100">
        <v>5835.225</v>
      </c>
      <c r="I16" s="100">
        <v>6512.825</v>
      </c>
      <c r="J16" s="101">
        <v>6959.0125</v>
      </c>
      <c r="K16" s="103">
        <v>8592.5125</v>
      </c>
      <c r="L16" s="102">
        <v>9572.6125</v>
      </c>
      <c r="M16" s="102">
        <v>10226.0125</v>
      </c>
      <c r="N16" s="15"/>
    </row>
    <row r="17" ht="18.75" customHeight="1" spans="1:14">
      <c r="A17" s="90" t="s">
        <v>27</v>
      </c>
      <c r="B17" s="100">
        <v>5307.3625</v>
      </c>
      <c r="C17" s="100">
        <v>5454.075</v>
      </c>
      <c r="D17" s="101">
        <v>5688.5125</v>
      </c>
      <c r="E17" s="100">
        <v>6205.7875</v>
      </c>
      <c r="F17" s="100">
        <v>6400.9</v>
      </c>
      <c r="G17" s="101">
        <v>7102.7</v>
      </c>
      <c r="H17" s="100">
        <v>7685.0125</v>
      </c>
      <c r="I17" s="100">
        <v>8361.1</v>
      </c>
      <c r="J17" s="101">
        <v>9760.1625</v>
      </c>
      <c r="K17" s="104">
        <v>11432.9875</v>
      </c>
      <c r="L17" s="102">
        <v>12437.2875</v>
      </c>
      <c r="M17" s="102">
        <v>13039.2625</v>
      </c>
      <c r="N17" s="15"/>
    </row>
    <row r="18" ht="18.75" customHeight="1" spans="1:14">
      <c r="A18" s="105" t="s">
        <v>70</v>
      </c>
      <c r="B18" s="100">
        <v>9856.9625</v>
      </c>
      <c r="C18" s="100">
        <v>10164</v>
      </c>
      <c r="D18" s="101">
        <v>10422.6375</v>
      </c>
      <c r="E18" s="100">
        <v>10711.525</v>
      </c>
      <c r="F18" s="100">
        <v>11038.225</v>
      </c>
      <c r="G18" s="101">
        <v>11777.8375</v>
      </c>
      <c r="H18" s="100">
        <v>12171.0875</v>
      </c>
      <c r="I18" s="100">
        <v>13016.575</v>
      </c>
      <c r="J18" s="101">
        <v>14598.65</v>
      </c>
      <c r="K18" s="104">
        <v>17213.7625</v>
      </c>
      <c r="L18" s="102">
        <v>18783.7375</v>
      </c>
      <c r="M18" s="102">
        <v>11570.625</v>
      </c>
      <c r="N18" s="15"/>
    </row>
    <row r="19" ht="18.75" customHeight="1" spans="1:14">
      <c r="A19" s="90" t="s">
        <v>71</v>
      </c>
      <c r="B19" s="100">
        <v>1194.875</v>
      </c>
      <c r="C19" s="100">
        <v>1219.075</v>
      </c>
      <c r="D19" s="101">
        <v>1306.8</v>
      </c>
      <c r="E19" s="100">
        <v>1448.975</v>
      </c>
      <c r="F19" s="100">
        <v>1556.3625</v>
      </c>
      <c r="G19" s="101">
        <v>1650.1375</v>
      </c>
      <c r="H19" s="100">
        <v>1792.3125</v>
      </c>
      <c r="I19" s="100">
        <v>1851.3</v>
      </c>
      <c r="J19" s="101">
        <v>2069.1</v>
      </c>
      <c r="K19" s="104">
        <v>2368.575</v>
      </c>
      <c r="L19" s="102">
        <v>2547.05</v>
      </c>
      <c r="M19" s="102">
        <v>2652.925</v>
      </c>
      <c r="N19" s="15"/>
    </row>
    <row r="20" ht="18.75" customHeight="1" spans="1:14">
      <c r="A20" s="90" t="s">
        <v>72</v>
      </c>
      <c r="B20" s="100">
        <v>3338.0875</v>
      </c>
      <c r="C20" s="100">
        <v>3437.9125</v>
      </c>
      <c r="D20" s="101">
        <v>3480.2625</v>
      </c>
      <c r="E20" s="100">
        <v>3614.875</v>
      </c>
      <c r="F20" s="100">
        <v>3732.85</v>
      </c>
      <c r="G20" s="101">
        <v>4018.7125</v>
      </c>
      <c r="H20" s="100">
        <v>4151.8125</v>
      </c>
      <c r="I20" s="100">
        <v>4442.2125</v>
      </c>
      <c r="J20" s="101">
        <v>4986.7125</v>
      </c>
      <c r="K20" s="104">
        <v>6015.2125</v>
      </c>
      <c r="L20" s="102">
        <v>6632.3125</v>
      </c>
      <c r="M20" s="102">
        <v>7004.3875</v>
      </c>
      <c r="N20" s="15"/>
    </row>
    <row r="21" ht="18.75" customHeight="1" spans="1:14">
      <c r="A21" s="90" t="s">
        <v>73</v>
      </c>
      <c r="B21" s="100">
        <v>1343.1</v>
      </c>
      <c r="C21" s="100">
        <v>1386.9625</v>
      </c>
      <c r="D21" s="101">
        <v>1468.6375</v>
      </c>
      <c r="E21" s="100">
        <v>1625.9375</v>
      </c>
      <c r="F21" s="100">
        <v>1690.975</v>
      </c>
      <c r="G21" s="101">
        <v>1884.575</v>
      </c>
      <c r="H21" s="100">
        <v>2057</v>
      </c>
      <c r="I21" s="100">
        <v>2354.9625</v>
      </c>
      <c r="J21" s="101">
        <v>2548.5625</v>
      </c>
      <c r="K21" s="104">
        <v>3015.925</v>
      </c>
      <c r="L21" s="102">
        <v>3297.25</v>
      </c>
      <c r="M21" s="102">
        <v>3466.65</v>
      </c>
      <c r="N21" s="15"/>
    </row>
    <row r="22" ht="18.75" customHeight="1" spans="1:14">
      <c r="A22" s="90" t="s">
        <v>74</v>
      </c>
      <c r="B22" s="100">
        <v>1769.625</v>
      </c>
      <c r="C22" s="100">
        <v>1830.125</v>
      </c>
      <c r="D22" s="101">
        <v>2044.9</v>
      </c>
      <c r="E22" s="100">
        <v>2096.325</v>
      </c>
      <c r="F22" s="100">
        <v>2238.5</v>
      </c>
      <c r="G22" s="101">
        <v>2580.325</v>
      </c>
      <c r="H22" s="100">
        <v>2708.8875</v>
      </c>
      <c r="I22" s="100">
        <v>2975.0875</v>
      </c>
      <c r="J22" s="101">
        <v>3189.8625</v>
      </c>
      <c r="K22" s="104">
        <v>3882.5875</v>
      </c>
      <c r="L22" s="102">
        <v>4298.525</v>
      </c>
      <c r="M22" s="102">
        <v>4548.0875</v>
      </c>
      <c r="N22" s="15"/>
    </row>
    <row r="23" ht="18.75" customHeight="1" spans="1:14">
      <c r="A23" s="15"/>
      <c r="B23" s="15"/>
      <c r="C23" s="15"/>
      <c r="D23" s="15" t="s">
        <v>75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ht="23.25" customHeight="1" spans="1:14">
      <c r="A24" s="82" t="s">
        <v>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5"/>
    </row>
    <row r="25" ht="18.75" customHeight="1" spans="1:14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5" t="s">
        <v>52</v>
      </c>
      <c r="N25" s="15"/>
    </row>
    <row r="26" ht="18.75" customHeight="1" spans="1:14">
      <c r="A26" s="15"/>
      <c r="B26" s="94"/>
      <c r="C26" s="94"/>
      <c r="D26" s="94"/>
      <c r="E26" s="94"/>
      <c r="F26" s="94"/>
      <c r="G26" s="94"/>
      <c r="H26" s="94"/>
      <c r="I26" s="94"/>
      <c r="J26" s="94"/>
      <c r="N26" s="15"/>
    </row>
    <row r="27" ht="23.25" customHeight="1" spans="1:14">
      <c r="A27" s="96" t="s">
        <v>53</v>
      </c>
      <c r="J27" s="15"/>
      <c r="N27" s="15"/>
    </row>
    <row r="28" ht="23.25" customHeight="1" spans="1:14">
      <c r="A28" s="96" t="s">
        <v>76</v>
      </c>
      <c r="K28" s="15"/>
      <c r="L28" s="15"/>
      <c r="M28" s="15"/>
      <c r="N28" s="15"/>
    </row>
    <row r="29" ht="21" customHeight="1" spans="1:14">
      <c r="A29" s="97" t="s">
        <v>126</v>
      </c>
      <c r="J29" s="91"/>
      <c r="K29" s="91"/>
      <c r="L29" s="91"/>
      <c r="M29" s="91"/>
      <c r="N29" s="15"/>
    </row>
    <row r="30" ht="26.25" customHeight="1" spans="1:14">
      <c r="A30" s="98"/>
      <c r="B30" s="99" t="s">
        <v>56</v>
      </c>
      <c r="C30" s="86" t="s">
        <v>57</v>
      </c>
      <c r="D30" s="86" t="s">
        <v>58</v>
      </c>
      <c r="E30" s="86" t="s">
        <v>59</v>
      </c>
      <c r="F30" s="86" t="s">
        <v>60</v>
      </c>
      <c r="G30" s="86" t="s">
        <v>61</v>
      </c>
      <c r="H30" s="86" t="s">
        <v>62</v>
      </c>
      <c r="I30" s="86" t="s">
        <v>63</v>
      </c>
      <c r="J30" s="86" t="s">
        <v>64</v>
      </c>
      <c r="K30" s="86" t="s">
        <v>65</v>
      </c>
      <c r="L30" s="86" t="s">
        <v>66</v>
      </c>
      <c r="M30" s="86" t="s">
        <v>67</v>
      </c>
      <c r="N30" s="15"/>
    </row>
    <row r="31" ht="18.75" customHeight="1" spans="1:14">
      <c r="A31" s="90" t="s">
        <v>68</v>
      </c>
      <c r="B31" s="100">
        <v>3268.44375</v>
      </c>
      <c r="C31" s="100">
        <v>3323.7875</v>
      </c>
      <c r="D31" s="101">
        <v>3560.975</v>
      </c>
      <c r="E31" s="100">
        <v>3850.34375</v>
      </c>
      <c r="F31" s="100">
        <v>4150.78125</v>
      </c>
      <c r="G31" s="101">
        <v>4329.4625</v>
      </c>
      <c r="H31" s="100">
        <v>4539.76875</v>
      </c>
      <c r="I31" s="100">
        <v>4980.9375</v>
      </c>
      <c r="J31" s="101">
        <v>5455.3125</v>
      </c>
      <c r="K31" s="100">
        <v>6641.25</v>
      </c>
      <c r="L31" s="102">
        <v>7352.8125</v>
      </c>
      <c r="M31" s="102">
        <v>7827.1875</v>
      </c>
      <c r="N31" s="15"/>
    </row>
    <row r="32" ht="18.75" customHeight="1" spans="1:14">
      <c r="A32" s="90" t="s">
        <v>18</v>
      </c>
      <c r="B32" s="100">
        <v>2678.6375</v>
      </c>
      <c r="C32" s="100">
        <v>2882.61875</v>
      </c>
      <c r="D32" s="101">
        <v>3129.29375</v>
      </c>
      <c r="E32" s="100">
        <v>3347.50625</v>
      </c>
      <c r="F32" s="100">
        <v>3546.74375</v>
      </c>
      <c r="G32" s="101">
        <v>3717.51875</v>
      </c>
      <c r="H32" s="100">
        <v>3929.40625</v>
      </c>
      <c r="I32" s="100">
        <v>4489.16875</v>
      </c>
      <c r="J32" s="101">
        <v>4620.4125</v>
      </c>
      <c r="K32" s="100">
        <v>5692.5</v>
      </c>
      <c r="L32" s="102">
        <v>6190.59375</v>
      </c>
      <c r="M32" s="102">
        <v>6551.11875</v>
      </c>
      <c r="N32" s="15"/>
    </row>
    <row r="33" ht="18.75" customHeight="1" spans="1:14">
      <c r="A33" s="90" t="s">
        <v>19</v>
      </c>
      <c r="B33" s="100">
        <v>2087.25</v>
      </c>
      <c r="C33" s="100">
        <v>2262.76875</v>
      </c>
      <c r="D33" s="101">
        <v>2466.75</v>
      </c>
      <c r="E33" s="100">
        <v>2651.75625</v>
      </c>
      <c r="F33" s="100">
        <v>2903.175</v>
      </c>
      <c r="G33" s="101">
        <v>3083.4375</v>
      </c>
      <c r="H33" s="100">
        <v>3205.19375</v>
      </c>
      <c r="I33" s="100">
        <v>3481.9125</v>
      </c>
      <c r="J33" s="101">
        <v>3795</v>
      </c>
      <c r="K33" s="100">
        <v>4625.15625</v>
      </c>
      <c r="L33" s="102">
        <v>5123.25</v>
      </c>
      <c r="M33" s="102">
        <v>5455.3125</v>
      </c>
      <c r="N33" s="15"/>
    </row>
    <row r="34" ht="18.75" customHeight="1" spans="1:14">
      <c r="A34" s="90" t="s">
        <v>20</v>
      </c>
      <c r="B34" s="100">
        <v>1733.05</v>
      </c>
      <c r="C34" s="100">
        <v>1891.175</v>
      </c>
      <c r="D34" s="101">
        <v>2068.275</v>
      </c>
      <c r="E34" s="100">
        <v>2234.30625</v>
      </c>
      <c r="F34" s="100">
        <v>2408.24375</v>
      </c>
      <c r="G34" s="101">
        <v>2490.46875</v>
      </c>
      <c r="H34" s="100">
        <v>2618.55</v>
      </c>
      <c r="I34" s="100">
        <v>2805.1375</v>
      </c>
      <c r="J34" s="101">
        <v>3083.4375</v>
      </c>
      <c r="K34" s="100">
        <v>3714.35625</v>
      </c>
      <c r="L34" s="102">
        <v>4092.275</v>
      </c>
      <c r="M34" s="102">
        <v>4345.275</v>
      </c>
      <c r="N34" s="15"/>
    </row>
    <row r="35" ht="18.75" customHeight="1" spans="1:14">
      <c r="A35" s="90" t="s">
        <v>21</v>
      </c>
      <c r="B35" s="100">
        <v>1644.5</v>
      </c>
      <c r="C35" s="100">
        <v>1663.475</v>
      </c>
      <c r="D35" s="101">
        <v>1734.63125</v>
      </c>
      <c r="E35" s="100">
        <v>1786.8125</v>
      </c>
      <c r="F35" s="100">
        <v>1919.6375</v>
      </c>
      <c r="G35" s="101">
        <v>2012.93125</v>
      </c>
      <c r="H35" s="100">
        <v>2052.4625</v>
      </c>
      <c r="I35" s="100">
        <v>2185.2875</v>
      </c>
      <c r="J35" s="101">
        <v>2474.65625</v>
      </c>
      <c r="K35" s="100">
        <v>2849.4125</v>
      </c>
      <c r="L35" s="102">
        <v>3072.36875</v>
      </c>
      <c r="M35" s="102">
        <v>3222.5875</v>
      </c>
      <c r="N35" s="15"/>
    </row>
    <row r="36" ht="18.75" customHeight="1" spans="1:14">
      <c r="A36" s="90" t="s">
        <v>22</v>
      </c>
      <c r="B36" s="100">
        <v>1253.93125</v>
      </c>
      <c r="C36" s="100">
        <v>1265</v>
      </c>
      <c r="D36" s="101">
        <v>1307.69375</v>
      </c>
      <c r="E36" s="100">
        <v>1337.7375</v>
      </c>
      <c r="F36" s="100">
        <v>1415.21875</v>
      </c>
      <c r="G36" s="101">
        <v>1480.05</v>
      </c>
      <c r="H36" s="100">
        <v>1503.76875</v>
      </c>
      <c r="I36" s="100">
        <v>1687.19375</v>
      </c>
      <c r="J36" s="101">
        <v>1869.0375</v>
      </c>
      <c r="K36" s="100">
        <v>2099.9</v>
      </c>
      <c r="L36" s="102">
        <v>2237.46875</v>
      </c>
      <c r="M36" s="102">
        <v>2329.18125</v>
      </c>
      <c r="N36" s="15"/>
    </row>
    <row r="37" ht="18.75" customHeight="1" spans="1:14">
      <c r="A37" s="90" t="s">
        <v>23</v>
      </c>
      <c r="B37" s="100">
        <v>3698.54375</v>
      </c>
      <c r="C37" s="100">
        <v>3998.98125</v>
      </c>
      <c r="D37" s="101">
        <v>4182.40625</v>
      </c>
      <c r="E37" s="100">
        <v>4615.66875</v>
      </c>
      <c r="F37" s="100">
        <v>4917.6875</v>
      </c>
      <c r="G37" s="101">
        <v>5227.6125</v>
      </c>
      <c r="H37" s="100">
        <v>5524.8875</v>
      </c>
      <c r="I37" s="100">
        <v>6195.3375</v>
      </c>
      <c r="J37" s="101">
        <v>6881.6</v>
      </c>
      <c r="K37" s="100">
        <v>8628.88125</v>
      </c>
      <c r="L37" s="102">
        <v>9511.21875</v>
      </c>
      <c r="M37" s="102">
        <v>9965.0375</v>
      </c>
      <c r="N37" s="15"/>
    </row>
    <row r="38" ht="18.75" customHeight="1" spans="1:14">
      <c r="A38" s="90" t="s">
        <v>24</v>
      </c>
      <c r="B38" s="100">
        <v>3461.35625</v>
      </c>
      <c r="C38" s="100">
        <v>3761.79375</v>
      </c>
      <c r="D38" s="101">
        <v>3945.21875</v>
      </c>
      <c r="E38" s="100">
        <v>4378.48125</v>
      </c>
      <c r="F38" s="100">
        <v>4595.1125</v>
      </c>
      <c r="G38" s="101">
        <v>4990.425</v>
      </c>
      <c r="H38" s="100">
        <v>5287.7</v>
      </c>
      <c r="I38" s="100">
        <v>5958.15</v>
      </c>
      <c r="J38" s="101">
        <v>6644.4125</v>
      </c>
      <c r="K38" s="100">
        <v>8391.69375</v>
      </c>
      <c r="L38" s="102">
        <v>9274.03125</v>
      </c>
      <c r="M38" s="102">
        <v>9727.85</v>
      </c>
      <c r="N38" s="15"/>
    </row>
    <row r="39" ht="18.75" customHeight="1" spans="1:14">
      <c r="A39" s="90" t="s">
        <v>69</v>
      </c>
      <c r="B39" s="100">
        <v>4731.1</v>
      </c>
      <c r="C39" s="100">
        <v>5050.5125</v>
      </c>
      <c r="D39" s="101">
        <v>5461.6375</v>
      </c>
      <c r="E39" s="100">
        <v>5762.075</v>
      </c>
      <c r="F39" s="100">
        <v>5833.23125</v>
      </c>
      <c r="G39" s="101">
        <v>6226.9625</v>
      </c>
      <c r="H39" s="100">
        <v>6576.41875</v>
      </c>
      <c r="I39" s="100">
        <v>7355.975</v>
      </c>
      <c r="J39" s="101">
        <v>7944.2</v>
      </c>
      <c r="K39" s="100">
        <v>9756.3125</v>
      </c>
      <c r="L39" s="102">
        <v>10842.63125</v>
      </c>
      <c r="M39" s="102">
        <v>11568.425</v>
      </c>
      <c r="N39" s="15"/>
    </row>
    <row r="40" ht="18.75" customHeight="1" spans="1:14">
      <c r="A40" s="90" t="s">
        <v>27</v>
      </c>
      <c r="B40" s="100">
        <v>5996.1</v>
      </c>
      <c r="C40" s="100">
        <v>6302.8625</v>
      </c>
      <c r="D40" s="101">
        <v>6585.90625</v>
      </c>
      <c r="E40" s="100">
        <v>7055.5375</v>
      </c>
      <c r="F40" s="100">
        <v>7423.96875</v>
      </c>
      <c r="G40" s="101">
        <v>8233.56875</v>
      </c>
      <c r="H40" s="100">
        <v>9128.55625</v>
      </c>
      <c r="I40" s="100">
        <v>10055.16875</v>
      </c>
      <c r="J40" s="101">
        <v>11530.475</v>
      </c>
      <c r="K40" s="100">
        <v>13617.725</v>
      </c>
      <c r="L40" s="102">
        <v>14870.075</v>
      </c>
      <c r="M40" s="102">
        <v>15622.75</v>
      </c>
      <c r="N40" s="15"/>
    </row>
    <row r="41" ht="18.75" customHeight="1" spans="1:14">
      <c r="A41" s="105" t="s">
        <v>70</v>
      </c>
      <c r="B41" s="100">
        <v>10847.375</v>
      </c>
      <c r="C41" s="100">
        <v>11212.64375</v>
      </c>
      <c r="D41" s="101">
        <v>11525.73125</v>
      </c>
      <c r="E41" s="100">
        <v>11872.025</v>
      </c>
      <c r="F41" s="100">
        <v>12259.43125</v>
      </c>
      <c r="G41" s="101">
        <v>13111.725</v>
      </c>
      <c r="H41" s="100">
        <v>13571.86875</v>
      </c>
      <c r="I41" s="100">
        <v>14563.3125</v>
      </c>
      <c r="J41" s="101">
        <v>16369.1</v>
      </c>
      <c r="K41" s="100">
        <v>19471.5125</v>
      </c>
      <c r="L41" s="102">
        <v>21334.225</v>
      </c>
      <c r="M41" s="102">
        <v>22629.26875</v>
      </c>
      <c r="N41" s="15"/>
    </row>
    <row r="42" ht="18.75" customHeight="1" spans="1:14">
      <c r="A42" s="90" t="s">
        <v>71</v>
      </c>
      <c r="B42" s="100">
        <v>1388.3375</v>
      </c>
      <c r="C42" s="100">
        <v>1416.8</v>
      </c>
      <c r="D42" s="101">
        <v>1518</v>
      </c>
      <c r="E42" s="100">
        <v>1682.45</v>
      </c>
      <c r="F42" s="100">
        <v>1807.36875</v>
      </c>
      <c r="G42" s="101">
        <v>1918.05625</v>
      </c>
      <c r="H42" s="100">
        <v>2082.50625</v>
      </c>
      <c r="I42" s="100">
        <v>2150.5</v>
      </c>
      <c r="J42" s="101">
        <v>2403.5</v>
      </c>
      <c r="K42" s="100">
        <v>2749.79375</v>
      </c>
      <c r="L42" s="102">
        <v>2956.9375</v>
      </c>
      <c r="M42" s="102">
        <v>3083.4375</v>
      </c>
      <c r="N42" s="15"/>
    </row>
    <row r="43" ht="18.75" customHeight="1" spans="1:14">
      <c r="A43" s="90" t="s">
        <v>72</v>
      </c>
      <c r="B43" s="100">
        <v>3643.2</v>
      </c>
      <c r="C43" s="100">
        <v>3755.46875</v>
      </c>
      <c r="D43" s="101">
        <v>3807.65</v>
      </c>
      <c r="E43" s="100">
        <v>3954.70625</v>
      </c>
      <c r="F43" s="100">
        <v>4087.53125</v>
      </c>
      <c r="G43" s="101">
        <v>4400.61875</v>
      </c>
      <c r="H43" s="100">
        <v>4547.675</v>
      </c>
      <c r="I43" s="100">
        <v>4867.0875</v>
      </c>
      <c r="J43" s="101">
        <v>5460.05625</v>
      </c>
      <c r="K43" s="100">
        <v>6587.4875</v>
      </c>
      <c r="L43" s="102">
        <v>7262.68125</v>
      </c>
      <c r="M43" s="102">
        <v>7669.0625</v>
      </c>
      <c r="N43" s="15"/>
    </row>
    <row r="44" ht="18.75" customHeight="1" spans="1:14">
      <c r="A44" s="90" t="s">
        <v>73</v>
      </c>
      <c r="B44" s="100">
        <v>1574.925</v>
      </c>
      <c r="C44" s="100">
        <v>1641.3375</v>
      </c>
      <c r="D44" s="101">
        <v>1756.76875</v>
      </c>
      <c r="E44" s="100">
        <v>1853.225</v>
      </c>
      <c r="F44" s="100">
        <v>1922.8</v>
      </c>
      <c r="G44" s="101">
        <v>2155.24375</v>
      </c>
      <c r="H44" s="100">
        <v>2307.04375</v>
      </c>
      <c r="I44" s="100">
        <v>2686.54375</v>
      </c>
      <c r="J44" s="101">
        <v>2914.24375</v>
      </c>
      <c r="K44" s="100">
        <v>3575.20625</v>
      </c>
      <c r="L44" s="102">
        <v>3970.51875</v>
      </c>
      <c r="M44" s="102">
        <v>4209.2875</v>
      </c>
      <c r="N44" s="15"/>
    </row>
    <row r="45" ht="18.75" customHeight="1" spans="1:14">
      <c r="A45" s="90" t="s">
        <v>74</v>
      </c>
      <c r="B45" s="100">
        <v>1989.2125</v>
      </c>
      <c r="C45" s="100">
        <v>2087.25</v>
      </c>
      <c r="D45" s="101">
        <v>2226.4</v>
      </c>
      <c r="E45" s="100">
        <v>2305.4625</v>
      </c>
      <c r="F45" s="100">
        <v>2430.38125</v>
      </c>
      <c r="G45" s="101">
        <v>2830.4375</v>
      </c>
      <c r="H45" s="100">
        <v>3020.1875</v>
      </c>
      <c r="I45" s="100">
        <v>3350.66875</v>
      </c>
      <c r="J45" s="101">
        <v>3736.49375</v>
      </c>
      <c r="K45" s="100">
        <v>4486.00625</v>
      </c>
      <c r="L45" s="102">
        <v>4935.08125</v>
      </c>
      <c r="M45" s="102">
        <v>5072.9375</v>
      </c>
      <c r="N45" s="15"/>
    </row>
    <row r="46" ht="18.75" customHeight="1" spans="1:14">
      <c r="A46" s="90" t="s">
        <v>77</v>
      </c>
      <c r="B46" s="100">
        <v>2624.875</v>
      </c>
      <c r="C46" s="100">
        <v>2694.45</v>
      </c>
      <c r="D46" s="101">
        <v>2912.6625</v>
      </c>
      <c r="E46" s="100">
        <v>3162.5</v>
      </c>
      <c r="F46" s="100">
        <v>3352.25</v>
      </c>
      <c r="G46" s="101">
        <v>3595.7625</v>
      </c>
      <c r="H46" s="100">
        <v>3848.7625</v>
      </c>
      <c r="I46" s="100">
        <v>4236.16875</v>
      </c>
      <c r="J46" s="101">
        <v>4667.85</v>
      </c>
      <c r="K46" s="100">
        <v>4996.75</v>
      </c>
      <c r="L46" s="102">
        <v>5042.60625</v>
      </c>
      <c r="M46" s="102">
        <v>5203.75</v>
      </c>
      <c r="N46" s="15"/>
    </row>
    <row r="47" ht="18.75" customHeight="1" spans="1:14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ht="23.25" customHeight="1" spans="1:14">
      <c r="A48" s="82" t="s">
        <v>35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5"/>
    </row>
    <row r="49" ht="18.75" customHeight="1" spans="1:14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5" t="s">
        <v>52</v>
      </c>
      <c r="N49" s="15"/>
    </row>
    <row r="50" ht="18.75" customHeight="1" spans="1:14">
      <c r="A50" s="15"/>
      <c r="B50" s="94"/>
      <c r="C50" s="94"/>
      <c r="D50" s="94"/>
      <c r="E50" s="94"/>
      <c r="F50" s="94"/>
      <c r="G50" s="94"/>
      <c r="H50" s="94"/>
      <c r="I50" s="94"/>
      <c r="J50" s="94"/>
      <c r="N50" s="15"/>
    </row>
    <row r="51" ht="21" customHeight="1" spans="1:14">
      <c r="A51" s="96" t="s">
        <v>78</v>
      </c>
      <c r="N51" s="15"/>
    </row>
    <row r="52" ht="21" customHeight="1" spans="1:14">
      <c r="A52" s="96" t="s">
        <v>79</v>
      </c>
      <c r="J52" s="15"/>
      <c r="K52" s="15"/>
      <c r="L52" s="15"/>
      <c r="M52" s="15"/>
      <c r="N52" s="15"/>
    </row>
    <row r="53" ht="21" customHeight="1" spans="1:14">
      <c r="A53" s="97" t="s">
        <v>126</v>
      </c>
      <c r="J53" s="91"/>
      <c r="K53" s="91"/>
      <c r="L53" s="91"/>
      <c r="M53" s="91"/>
      <c r="N53" s="15"/>
    </row>
    <row r="54" ht="28.5" customHeight="1" spans="1:14">
      <c r="A54" s="98"/>
      <c r="B54" s="99" t="s">
        <v>56</v>
      </c>
      <c r="C54" s="86" t="s">
        <v>57</v>
      </c>
      <c r="D54" s="86" t="s">
        <v>58</v>
      </c>
      <c r="E54" s="86" t="s">
        <v>59</v>
      </c>
      <c r="F54" s="86" t="s">
        <v>60</v>
      </c>
      <c r="G54" s="86" t="s">
        <v>61</v>
      </c>
      <c r="H54" s="86" t="s">
        <v>62</v>
      </c>
      <c r="I54" s="86" t="s">
        <v>63</v>
      </c>
      <c r="J54" s="86" t="s">
        <v>64</v>
      </c>
      <c r="K54" s="86" t="s">
        <v>65</v>
      </c>
      <c r="L54" s="86" t="s">
        <v>66</v>
      </c>
      <c r="M54" s="86" t="s">
        <v>67</v>
      </c>
      <c r="N54" s="15"/>
    </row>
    <row r="55" ht="18.75" customHeight="1" spans="1:14">
      <c r="A55" s="90" t="s">
        <v>68</v>
      </c>
      <c r="B55" s="100">
        <v>2828.375</v>
      </c>
      <c r="C55" s="100">
        <v>3021.975</v>
      </c>
      <c r="D55" s="101">
        <v>3265.4875</v>
      </c>
      <c r="E55" s="100">
        <v>3397.075</v>
      </c>
      <c r="F55" s="100">
        <v>3728.3125</v>
      </c>
      <c r="G55" s="101">
        <v>3989.975</v>
      </c>
      <c r="H55" s="100">
        <v>4242.5625</v>
      </c>
      <c r="I55" s="100">
        <v>4564.725</v>
      </c>
      <c r="J55" s="101">
        <v>5160.65</v>
      </c>
      <c r="K55" s="100">
        <v>6057.5625</v>
      </c>
      <c r="L55" s="102">
        <v>6596.0125</v>
      </c>
      <c r="M55" s="102">
        <v>6955.9875</v>
      </c>
      <c r="N55" s="15"/>
    </row>
    <row r="56" ht="18.75" customHeight="1" spans="1:14">
      <c r="A56" s="90" t="s">
        <v>18</v>
      </c>
      <c r="B56" s="100">
        <v>2412.4375</v>
      </c>
      <c r="C56" s="100">
        <v>2571.25</v>
      </c>
      <c r="D56" s="101">
        <v>2758.8</v>
      </c>
      <c r="E56" s="100">
        <v>2985.675</v>
      </c>
      <c r="F56" s="100">
        <v>3189.8625</v>
      </c>
      <c r="G56" s="101">
        <v>3351.7</v>
      </c>
      <c r="H56" s="100">
        <v>3440.9375</v>
      </c>
      <c r="I56" s="100">
        <v>3675.375</v>
      </c>
      <c r="J56" s="101">
        <v>4129.125</v>
      </c>
      <c r="K56" s="100">
        <v>4809.75</v>
      </c>
      <c r="L56" s="102">
        <v>5216.6125</v>
      </c>
      <c r="M56" s="102">
        <v>5490.375</v>
      </c>
      <c r="N56" s="15"/>
    </row>
    <row r="57" ht="18.75" customHeight="1" spans="1:14">
      <c r="A57" s="90" t="s">
        <v>19</v>
      </c>
      <c r="B57" s="100">
        <v>1978.35</v>
      </c>
      <c r="C57" s="100">
        <v>2112.9625</v>
      </c>
      <c r="D57" s="101">
        <v>2250.6</v>
      </c>
      <c r="E57" s="100">
        <v>2445.7125</v>
      </c>
      <c r="F57" s="100">
        <v>2581.8375</v>
      </c>
      <c r="G57" s="101">
        <v>2826.8625</v>
      </c>
      <c r="H57" s="100">
        <v>2887.3625</v>
      </c>
      <c r="I57" s="100">
        <v>3043.15</v>
      </c>
      <c r="J57" s="101">
        <v>3356.2375</v>
      </c>
      <c r="K57" s="100">
        <v>3817.55</v>
      </c>
      <c r="L57" s="102">
        <v>4092.825</v>
      </c>
      <c r="M57" s="102">
        <v>4278.8625</v>
      </c>
      <c r="N57" s="15"/>
    </row>
    <row r="58" ht="18.75" customHeight="1" spans="1:14">
      <c r="A58" s="90" t="s">
        <v>20</v>
      </c>
      <c r="B58" s="100">
        <v>1641.0625</v>
      </c>
      <c r="C58" s="100">
        <v>1810.4625</v>
      </c>
      <c r="D58" s="101">
        <v>1908.775</v>
      </c>
      <c r="E58" s="100">
        <v>1973.8125</v>
      </c>
      <c r="F58" s="100">
        <v>2155.3125</v>
      </c>
      <c r="G58" s="101">
        <v>2259.675</v>
      </c>
      <c r="H58" s="100">
        <v>2306.5625</v>
      </c>
      <c r="I58" s="100">
        <v>2477.475</v>
      </c>
      <c r="J58" s="101">
        <v>2707.375</v>
      </c>
      <c r="K58" s="100">
        <v>3315.4</v>
      </c>
      <c r="L58" s="102">
        <v>3604.2875</v>
      </c>
      <c r="M58" s="102">
        <v>3775.2</v>
      </c>
      <c r="N58" s="15"/>
    </row>
    <row r="59" ht="18.75" customHeight="1" spans="1:14">
      <c r="A59" s="90" t="s">
        <v>21</v>
      </c>
      <c r="B59" s="100">
        <v>1318.9</v>
      </c>
      <c r="C59" s="100">
        <v>1467.125</v>
      </c>
      <c r="D59" s="101">
        <v>1533.675</v>
      </c>
      <c r="E59" s="100">
        <v>1579.05</v>
      </c>
      <c r="F59" s="100">
        <v>1707.6125</v>
      </c>
      <c r="G59" s="101">
        <v>1917.85</v>
      </c>
      <c r="H59" s="100">
        <v>1949.6125</v>
      </c>
      <c r="I59" s="100">
        <v>2066.075</v>
      </c>
      <c r="J59" s="101">
        <v>2323.2</v>
      </c>
      <c r="K59" s="100">
        <v>2672.5875</v>
      </c>
      <c r="L59" s="102">
        <v>2882.825</v>
      </c>
      <c r="M59" s="102">
        <v>3008.3625</v>
      </c>
      <c r="N59" s="15"/>
    </row>
    <row r="60" ht="18.75" customHeight="1" spans="1:14">
      <c r="A60" s="90" t="s">
        <v>22</v>
      </c>
      <c r="B60" s="100">
        <v>1105.6375</v>
      </c>
      <c r="C60" s="100">
        <v>1246.3</v>
      </c>
      <c r="D60" s="101">
        <v>1285.625</v>
      </c>
      <c r="E60" s="100">
        <v>1314.3625</v>
      </c>
      <c r="F60" s="100">
        <v>1391.5</v>
      </c>
      <c r="G60" s="101">
        <v>1450.4875</v>
      </c>
      <c r="H60" s="100">
        <v>1470.15</v>
      </c>
      <c r="I60" s="100">
        <v>1539.725</v>
      </c>
      <c r="J60" s="101">
        <v>1704.5875</v>
      </c>
      <c r="K60" s="100">
        <v>1917.85</v>
      </c>
      <c r="L60" s="102">
        <v>2046.4125</v>
      </c>
      <c r="M60" s="102">
        <v>2122.0375</v>
      </c>
      <c r="N60" s="15"/>
    </row>
    <row r="61" ht="18.75" customHeight="1" spans="1:14">
      <c r="A61" s="90" t="s">
        <v>23</v>
      </c>
      <c r="B61" s="100">
        <v>3253.3875</v>
      </c>
      <c r="C61" s="100">
        <v>3440.9375</v>
      </c>
      <c r="D61" s="101">
        <v>3631.5125</v>
      </c>
      <c r="E61" s="100">
        <v>3835.7</v>
      </c>
      <c r="F61" s="100">
        <v>3899.225</v>
      </c>
      <c r="G61" s="101">
        <v>4092.825</v>
      </c>
      <c r="H61" s="100">
        <v>4436.1625</v>
      </c>
      <c r="I61" s="100">
        <v>4950.4125</v>
      </c>
      <c r="J61" s="101">
        <v>5830.6875</v>
      </c>
      <c r="K61" s="100">
        <v>7143.5375</v>
      </c>
      <c r="L61" s="102">
        <v>7933.0625</v>
      </c>
      <c r="M61" s="102">
        <v>8457.9</v>
      </c>
      <c r="N61" s="15"/>
    </row>
    <row r="62" ht="18.75" customHeight="1" spans="1:14">
      <c r="A62" s="90" t="s">
        <v>24</v>
      </c>
      <c r="B62" s="100">
        <v>2996.2625</v>
      </c>
      <c r="C62" s="100">
        <v>3183.8125</v>
      </c>
      <c r="D62" s="101">
        <v>3374.3875</v>
      </c>
      <c r="E62" s="100">
        <v>3578.575</v>
      </c>
      <c r="F62" s="100">
        <v>3642.1</v>
      </c>
      <c r="G62" s="101">
        <v>3835.7</v>
      </c>
      <c r="H62" s="100">
        <v>4179.0375</v>
      </c>
      <c r="I62" s="100">
        <v>4693.2875</v>
      </c>
      <c r="J62" s="101">
        <v>5573.5625</v>
      </c>
      <c r="K62" s="100">
        <v>6886.4125</v>
      </c>
      <c r="L62" s="102">
        <v>7675.9375</v>
      </c>
      <c r="M62" s="102">
        <v>8200.775</v>
      </c>
      <c r="N62" s="15"/>
    </row>
    <row r="63" ht="18.75" customHeight="1" spans="1:14">
      <c r="A63" s="90" t="s">
        <v>69</v>
      </c>
      <c r="B63" s="100">
        <v>4641.8625</v>
      </c>
      <c r="C63" s="100">
        <v>4824.875</v>
      </c>
      <c r="D63" s="101">
        <v>5100.15</v>
      </c>
      <c r="E63" s="100">
        <v>5609.8625</v>
      </c>
      <c r="F63" s="100">
        <v>5845.8125</v>
      </c>
      <c r="G63" s="101">
        <v>6249.65</v>
      </c>
      <c r="H63" s="100">
        <v>6612.65</v>
      </c>
      <c r="I63" s="100">
        <v>7381</v>
      </c>
      <c r="J63" s="101">
        <v>7887.6875</v>
      </c>
      <c r="K63" s="100">
        <v>9738.9875</v>
      </c>
      <c r="L63" s="102">
        <v>10849.1625</v>
      </c>
      <c r="M63" s="102">
        <v>11590.2875</v>
      </c>
      <c r="N63" s="15"/>
    </row>
    <row r="64" ht="18.75" customHeight="1" spans="1:14">
      <c r="A64" s="90" t="s">
        <v>27</v>
      </c>
      <c r="B64" s="100">
        <v>6015.2125</v>
      </c>
      <c r="C64" s="100">
        <v>6181.5875</v>
      </c>
      <c r="D64" s="101">
        <v>6446.275</v>
      </c>
      <c r="E64" s="100">
        <v>7033.125</v>
      </c>
      <c r="F64" s="100">
        <v>7255.4625</v>
      </c>
      <c r="G64" s="101">
        <v>8049.525</v>
      </c>
      <c r="H64" s="100">
        <v>8710.4875</v>
      </c>
      <c r="I64" s="100">
        <v>9475.8125</v>
      </c>
      <c r="J64" s="101">
        <v>11060.9125</v>
      </c>
      <c r="K64" s="100">
        <v>12957.5875</v>
      </c>
      <c r="L64" s="102">
        <v>14094.9875</v>
      </c>
      <c r="M64" s="102">
        <v>14778.6375</v>
      </c>
      <c r="N64" s="15"/>
    </row>
    <row r="65" ht="18.75" customHeight="1" spans="1:14">
      <c r="A65" s="105" t="s">
        <v>70</v>
      </c>
      <c r="B65" s="100">
        <v>11171.325</v>
      </c>
      <c r="C65" s="100">
        <v>11519.2</v>
      </c>
      <c r="D65" s="101">
        <v>11812.625</v>
      </c>
      <c r="E65" s="100">
        <v>12140.8375</v>
      </c>
      <c r="F65" s="100">
        <v>12509.8875</v>
      </c>
      <c r="G65" s="101">
        <v>13349.325</v>
      </c>
      <c r="H65" s="100">
        <v>13794</v>
      </c>
      <c r="I65" s="100">
        <v>14752.925</v>
      </c>
      <c r="J65" s="101">
        <v>16545.2375</v>
      </c>
      <c r="K65" s="100">
        <v>19509.7375</v>
      </c>
      <c r="L65" s="102">
        <v>21288.4375</v>
      </c>
      <c r="M65" s="102">
        <v>13113.375</v>
      </c>
      <c r="N65" s="15"/>
    </row>
    <row r="66" ht="18.75" customHeight="1" spans="1:14">
      <c r="A66" s="90" t="s">
        <v>71</v>
      </c>
      <c r="B66" s="100">
        <v>1268.9875</v>
      </c>
      <c r="C66" s="100">
        <v>1296.2125</v>
      </c>
      <c r="D66" s="101">
        <v>1388.475</v>
      </c>
      <c r="E66" s="100">
        <v>1538.2125</v>
      </c>
      <c r="F66" s="100">
        <v>1653.1625</v>
      </c>
      <c r="G66" s="101">
        <v>1752.9875</v>
      </c>
      <c r="H66" s="100">
        <v>1904.2375</v>
      </c>
      <c r="I66" s="100">
        <v>1967.7625</v>
      </c>
      <c r="J66" s="101">
        <v>2199.175</v>
      </c>
      <c r="K66" s="100">
        <v>2515.2875</v>
      </c>
      <c r="L66" s="102">
        <v>2705.8625</v>
      </c>
      <c r="M66" s="102">
        <v>2819.3</v>
      </c>
      <c r="N66" s="15"/>
    </row>
    <row r="67" ht="18.75" customHeight="1" spans="1:14">
      <c r="A67" s="90" t="s">
        <v>72</v>
      </c>
      <c r="B67" s="100">
        <v>3782.7625</v>
      </c>
      <c r="C67" s="100">
        <v>3896.2</v>
      </c>
      <c r="D67" s="101">
        <v>3944.6</v>
      </c>
      <c r="E67" s="100">
        <v>4095.85</v>
      </c>
      <c r="F67" s="100">
        <v>4230.4625</v>
      </c>
      <c r="G67" s="101">
        <v>4555.65</v>
      </c>
      <c r="H67" s="100">
        <v>4705.3875</v>
      </c>
      <c r="I67" s="100">
        <v>5035.1125</v>
      </c>
      <c r="J67" s="101">
        <v>5652.2125</v>
      </c>
      <c r="K67" s="100">
        <v>6818.35</v>
      </c>
      <c r="L67" s="102">
        <v>7517.125</v>
      </c>
      <c r="M67" s="102">
        <v>7937.6</v>
      </c>
      <c r="N67" s="15"/>
    </row>
    <row r="68" ht="18.75" customHeight="1" spans="1:14">
      <c r="A68" s="90" t="s">
        <v>73</v>
      </c>
      <c r="B68" s="100">
        <v>1427.8</v>
      </c>
      <c r="C68" s="100">
        <v>1473.175</v>
      </c>
      <c r="D68" s="101">
        <v>1560.9</v>
      </c>
      <c r="E68" s="100">
        <v>1727.275</v>
      </c>
      <c r="F68" s="100">
        <v>1796.85</v>
      </c>
      <c r="G68" s="101">
        <v>2001.0375</v>
      </c>
      <c r="H68" s="100">
        <v>2185.5625</v>
      </c>
      <c r="I68" s="100">
        <v>2501.675</v>
      </c>
      <c r="J68" s="101">
        <v>2707.375</v>
      </c>
      <c r="K68" s="100">
        <v>3204.9875</v>
      </c>
      <c r="L68" s="102">
        <v>3502.95</v>
      </c>
      <c r="M68" s="102">
        <v>3682.9375</v>
      </c>
      <c r="N68" s="15"/>
    </row>
    <row r="69" ht="18.75" customHeight="1" spans="1:14">
      <c r="A69" s="90" t="s">
        <v>74</v>
      </c>
      <c r="B69" s="100">
        <v>1880.0375</v>
      </c>
      <c r="C69" s="100">
        <v>1945.075</v>
      </c>
      <c r="D69" s="101">
        <v>2173.4625</v>
      </c>
      <c r="E69" s="100">
        <v>2226.4</v>
      </c>
      <c r="F69" s="100">
        <v>2379.1625</v>
      </c>
      <c r="G69" s="101">
        <v>2742.1625</v>
      </c>
      <c r="H69" s="100">
        <v>2878.2875</v>
      </c>
      <c r="I69" s="100">
        <v>3161.125</v>
      </c>
      <c r="J69" s="101">
        <v>3389.5125</v>
      </c>
      <c r="K69" s="100">
        <v>4126.1</v>
      </c>
      <c r="L69" s="102">
        <v>4567.75</v>
      </c>
      <c r="M69" s="102">
        <v>4832.4375</v>
      </c>
      <c r="N69" s="15"/>
    </row>
    <row r="70" ht="18.75" customHeight="1" spans="1:1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ht="23.25" customHeight="1" spans="1:14">
      <c r="A71" s="82" t="s">
        <v>35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5"/>
    </row>
    <row r="72" ht="18.75" customHeight="1" spans="1:14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5" t="s">
        <v>52</v>
      </c>
      <c r="N72" s="15"/>
    </row>
    <row r="73" ht="18.75" customHeight="1" spans="1:14">
      <c r="A73" s="15"/>
      <c r="B73" s="94"/>
      <c r="C73" s="94"/>
      <c r="D73" s="94"/>
      <c r="E73" s="94"/>
      <c r="F73" s="94"/>
      <c r="G73" s="94"/>
      <c r="H73" s="94"/>
      <c r="I73" s="94"/>
      <c r="J73" s="94"/>
      <c r="N73" s="15"/>
    </row>
    <row r="74" ht="21" customHeight="1" spans="1:14">
      <c r="A74" s="96" t="s">
        <v>80</v>
      </c>
      <c r="N74" s="15"/>
    </row>
    <row r="75" ht="21" customHeight="1" spans="1:14">
      <c r="A75" s="96" t="s">
        <v>79</v>
      </c>
      <c r="J75" s="15"/>
      <c r="K75" s="15"/>
      <c r="L75" s="15"/>
      <c r="M75" s="15"/>
      <c r="N75" s="15"/>
    </row>
    <row r="76" ht="21" customHeight="1" spans="1:14">
      <c r="A76" s="97" t="s">
        <v>126</v>
      </c>
      <c r="J76" s="91"/>
      <c r="K76" s="91"/>
      <c r="L76" s="91"/>
      <c r="M76" s="91"/>
      <c r="N76" s="15"/>
    </row>
    <row r="77" ht="28.5" customHeight="1" spans="1:14">
      <c r="A77" s="98"/>
      <c r="B77" s="99" t="s">
        <v>56</v>
      </c>
      <c r="C77" s="86" t="s">
        <v>57</v>
      </c>
      <c r="D77" s="86" t="s">
        <v>58</v>
      </c>
      <c r="E77" s="86" t="s">
        <v>59</v>
      </c>
      <c r="F77" s="86" t="s">
        <v>60</v>
      </c>
      <c r="G77" s="86" t="s">
        <v>61</v>
      </c>
      <c r="H77" s="86" t="s">
        <v>62</v>
      </c>
      <c r="I77" s="86" t="s">
        <v>63</v>
      </c>
      <c r="J77" s="86" t="s">
        <v>64</v>
      </c>
      <c r="K77" s="86" t="s">
        <v>65</v>
      </c>
      <c r="L77" s="86" t="s">
        <v>66</v>
      </c>
      <c r="M77" s="86" t="s">
        <v>67</v>
      </c>
      <c r="N77" s="15"/>
    </row>
    <row r="78" ht="18.75" customHeight="1" spans="1:14">
      <c r="A78" s="90" t="s">
        <v>68</v>
      </c>
      <c r="B78" s="100">
        <v>3407.6625</v>
      </c>
      <c r="C78" s="100">
        <v>3574.0375</v>
      </c>
      <c r="D78" s="101">
        <v>3879.5625</v>
      </c>
      <c r="E78" s="100">
        <v>4333.3125</v>
      </c>
      <c r="F78" s="100">
        <v>4499.6875</v>
      </c>
      <c r="G78" s="101">
        <v>4617.6625</v>
      </c>
      <c r="H78" s="100">
        <v>5597.7625</v>
      </c>
      <c r="I78" s="100">
        <v>5877.575</v>
      </c>
      <c r="J78" s="101">
        <v>6166.4625</v>
      </c>
      <c r="K78" s="100">
        <v>7842.3125</v>
      </c>
      <c r="L78" s="100">
        <v>8848.125</v>
      </c>
      <c r="M78" s="100">
        <v>9518.1625</v>
      </c>
      <c r="N78" s="15"/>
    </row>
    <row r="79" ht="18.75" customHeight="1" spans="1:14">
      <c r="A79" s="90" t="s">
        <v>18</v>
      </c>
      <c r="B79" s="100">
        <v>2828.375</v>
      </c>
      <c r="C79" s="100">
        <v>3012.9</v>
      </c>
      <c r="D79" s="101">
        <v>3301.7875</v>
      </c>
      <c r="E79" s="100">
        <v>3728.3125</v>
      </c>
      <c r="F79" s="100">
        <v>3856.875</v>
      </c>
      <c r="G79" s="101">
        <v>3973.3375</v>
      </c>
      <c r="H79" s="100">
        <v>4761.35</v>
      </c>
      <c r="I79" s="100">
        <v>5013.9375</v>
      </c>
      <c r="J79" s="101">
        <v>5201.4875</v>
      </c>
      <c r="K79" s="100">
        <v>6685.25</v>
      </c>
      <c r="L79" s="100">
        <v>7574.6</v>
      </c>
      <c r="M79" s="100">
        <v>8169.0125</v>
      </c>
      <c r="N79" s="15"/>
    </row>
    <row r="80" ht="18.75" customHeight="1" spans="1:14">
      <c r="A80" s="90" t="s">
        <v>19</v>
      </c>
      <c r="B80" s="100">
        <v>2347.4</v>
      </c>
      <c r="C80" s="100">
        <v>2442.6875</v>
      </c>
      <c r="D80" s="101">
        <v>2699.8125</v>
      </c>
      <c r="E80" s="100">
        <v>3003.825</v>
      </c>
      <c r="F80" s="100">
        <v>3150.5375</v>
      </c>
      <c r="G80" s="101">
        <v>3214.0625</v>
      </c>
      <c r="H80" s="100">
        <v>3926.45</v>
      </c>
      <c r="I80" s="100">
        <v>4136.6875</v>
      </c>
      <c r="J80" s="101">
        <v>4297.0125</v>
      </c>
      <c r="K80" s="100">
        <v>5615.9125</v>
      </c>
      <c r="L80" s="100">
        <v>6406.95</v>
      </c>
      <c r="M80" s="100">
        <v>6934.8125</v>
      </c>
      <c r="N80" s="15"/>
    </row>
    <row r="81" ht="18.75" customHeight="1" spans="1:14">
      <c r="A81" s="90" t="s">
        <v>20</v>
      </c>
      <c r="B81" s="100">
        <v>1892.1375</v>
      </c>
      <c r="C81" s="100">
        <v>1931.4625</v>
      </c>
      <c r="D81" s="101">
        <v>2137.1625</v>
      </c>
      <c r="E81" s="100">
        <v>2522.85</v>
      </c>
      <c r="F81" s="100">
        <v>2613.6</v>
      </c>
      <c r="G81" s="101">
        <v>2699.8125</v>
      </c>
      <c r="H81" s="100">
        <v>3073.4</v>
      </c>
      <c r="I81" s="100">
        <v>3310.8625</v>
      </c>
      <c r="J81" s="101">
        <v>3790.325</v>
      </c>
      <c r="K81" s="100">
        <v>4452.8</v>
      </c>
      <c r="L81" s="100">
        <v>4849.075</v>
      </c>
      <c r="M81" s="100">
        <v>5086.5375</v>
      </c>
      <c r="N81" s="15"/>
    </row>
    <row r="82" ht="18.75" customHeight="1" spans="1:14">
      <c r="A82" s="90" t="s">
        <v>21</v>
      </c>
      <c r="B82" s="100">
        <v>1542.75</v>
      </c>
      <c r="C82" s="100">
        <v>1674.3375</v>
      </c>
      <c r="D82" s="101">
        <v>1799.875</v>
      </c>
      <c r="E82" s="100">
        <v>1958.6875</v>
      </c>
      <c r="F82" s="100">
        <v>2138.675</v>
      </c>
      <c r="G82" s="101">
        <v>2351.9375</v>
      </c>
      <c r="H82" s="100">
        <v>2416.975</v>
      </c>
      <c r="I82" s="100">
        <v>2586.375</v>
      </c>
      <c r="J82" s="101">
        <v>2937.275</v>
      </c>
      <c r="K82" s="100">
        <v>3418.25</v>
      </c>
      <c r="L82" s="100">
        <v>3707.1375</v>
      </c>
      <c r="M82" s="100">
        <v>3879.5625</v>
      </c>
      <c r="N82" s="15"/>
    </row>
    <row r="83" ht="18.75" customHeight="1" spans="1:14">
      <c r="A83" s="90" t="s">
        <v>22</v>
      </c>
      <c r="B83" s="100">
        <v>1332.5125</v>
      </c>
      <c r="C83" s="100">
        <v>1383.9375</v>
      </c>
      <c r="D83" s="101">
        <v>1538.2125</v>
      </c>
      <c r="E83" s="100">
        <v>1576.025</v>
      </c>
      <c r="F83" s="100">
        <v>1684.925</v>
      </c>
      <c r="G83" s="101">
        <v>1748.45</v>
      </c>
      <c r="H83" s="100">
        <v>1783.2375</v>
      </c>
      <c r="I83" s="100">
        <v>1880.0375</v>
      </c>
      <c r="J83" s="101">
        <v>2094.8125</v>
      </c>
      <c r="K83" s="100">
        <v>2386.725</v>
      </c>
      <c r="L83" s="100">
        <v>2560.6625</v>
      </c>
      <c r="M83" s="100">
        <v>2666.5375</v>
      </c>
      <c r="N83" s="15"/>
    </row>
    <row r="84" ht="18.75" customHeight="1" spans="1:14">
      <c r="A84" s="90" t="s">
        <v>23</v>
      </c>
      <c r="B84" s="100">
        <v>3611.85</v>
      </c>
      <c r="C84" s="100">
        <v>3949.1375</v>
      </c>
      <c r="D84" s="101">
        <v>4416.5</v>
      </c>
      <c r="E84" s="100">
        <v>4774.9625</v>
      </c>
      <c r="F84" s="100">
        <v>5249.8875</v>
      </c>
      <c r="G84" s="101">
        <v>5876.0625</v>
      </c>
      <c r="H84" s="100">
        <v>6508.2875</v>
      </c>
      <c r="I84" s="100">
        <v>6736.675</v>
      </c>
      <c r="J84" s="101">
        <v>7580.65</v>
      </c>
      <c r="K84" s="100">
        <v>9810.075</v>
      </c>
      <c r="L84" s="100">
        <v>11148.6375</v>
      </c>
      <c r="M84" s="100">
        <v>12041.0125</v>
      </c>
      <c r="N84" s="15"/>
    </row>
    <row r="85" ht="18.75" customHeight="1" spans="1:14">
      <c r="A85" s="90" t="s">
        <v>24</v>
      </c>
      <c r="B85" s="100">
        <v>3354.725</v>
      </c>
      <c r="C85" s="100">
        <v>3692.0125</v>
      </c>
      <c r="D85" s="101">
        <v>4159.375</v>
      </c>
      <c r="E85" s="100">
        <v>4517.8375</v>
      </c>
      <c r="F85" s="100">
        <v>4992.7625</v>
      </c>
      <c r="G85" s="101">
        <v>5618.9375</v>
      </c>
      <c r="H85" s="100">
        <v>6251.1625</v>
      </c>
      <c r="I85" s="100">
        <v>6479.55</v>
      </c>
      <c r="J85" s="101">
        <v>7323.525</v>
      </c>
      <c r="K85" s="100">
        <v>9552.95</v>
      </c>
      <c r="L85" s="100">
        <v>10891.5125</v>
      </c>
      <c r="M85" s="100">
        <v>11783.8875</v>
      </c>
      <c r="N85" s="15"/>
    </row>
    <row r="86" ht="18.75" customHeight="1" spans="1:14">
      <c r="A86" s="90" t="s">
        <v>69</v>
      </c>
      <c r="B86" s="100">
        <v>5209.05</v>
      </c>
      <c r="C86" s="100">
        <v>5603.8125</v>
      </c>
      <c r="D86" s="101">
        <v>6068.15</v>
      </c>
      <c r="E86" s="100">
        <v>6565.7625</v>
      </c>
      <c r="F86" s="100">
        <v>6889.4375</v>
      </c>
      <c r="G86" s="101">
        <v>7426.375</v>
      </c>
      <c r="H86" s="100">
        <v>7744</v>
      </c>
      <c r="I86" s="100">
        <v>8463.95</v>
      </c>
      <c r="J86" s="101">
        <v>9493.9625</v>
      </c>
      <c r="K86" s="100">
        <v>10682.7875</v>
      </c>
      <c r="L86" s="100">
        <v>11396.6875</v>
      </c>
      <c r="M86" s="100">
        <v>11873.125</v>
      </c>
      <c r="N86" s="15"/>
    </row>
    <row r="87" ht="18.75" customHeight="1" spans="1:14">
      <c r="A87" s="90" t="s">
        <v>27</v>
      </c>
      <c r="B87" s="100">
        <v>6933.3</v>
      </c>
      <c r="C87" s="100">
        <v>7356.8</v>
      </c>
      <c r="D87" s="101">
        <v>7595.775</v>
      </c>
      <c r="E87" s="100">
        <v>8054.0625</v>
      </c>
      <c r="F87" s="100">
        <v>8421.6</v>
      </c>
      <c r="G87" s="101">
        <v>9312.4625</v>
      </c>
      <c r="H87" s="100">
        <v>9888.725</v>
      </c>
      <c r="I87" s="100">
        <v>11172.8375</v>
      </c>
      <c r="J87" s="101">
        <v>13293.3625</v>
      </c>
      <c r="K87" s="100">
        <v>16127.7875</v>
      </c>
      <c r="L87" s="100">
        <v>17829.35</v>
      </c>
      <c r="M87" s="100">
        <v>18850.2875</v>
      </c>
      <c r="N87" s="15"/>
    </row>
    <row r="88" ht="18.75" customHeight="1" spans="1:14">
      <c r="A88" s="105" t="s">
        <v>70</v>
      </c>
      <c r="B88" s="100">
        <v>12792.725</v>
      </c>
      <c r="C88" s="100">
        <v>13208.6625</v>
      </c>
      <c r="D88" s="101">
        <v>13547.4625</v>
      </c>
      <c r="E88" s="100">
        <v>13933.15</v>
      </c>
      <c r="F88" s="100">
        <v>14370.2625</v>
      </c>
      <c r="G88" s="101">
        <v>15359.4375</v>
      </c>
      <c r="H88" s="100">
        <v>15891.8375</v>
      </c>
      <c r="I88" s="100">
        <v>17044.3625</v>
      </c>
      <c r="J88" s="101">
        <v>19018.175</v>
      </c>
      <c r="K88" s="100">
        <v>22357.775</v>
      </c>
      <c r="L88" s="100">
        <v>24363.35</v>
      </c>
      <c r="M88" s="100">
        <v>25564.275</v>
      </c>
      <c r="N88" s="15"/>
    </row>
    <row r="89" ht="18.75" customHeight="1" spans="1:14">
      <c r="A89" s="90" t="s">
        <v>71</v>
      </c>
      <c r="B89" s="100">
        <v>1495.8625</v>
      </c>
      <c r="C89" s="100">
        <v>1524.6</v>
      </c>
      <c r="D89" s="101">
        <v>1556.3625</v>
      </c>
      <c r="E89" s="100">
        <v>1715.175</v>
      </c>
      <c r="F89" s="100">
        <v>1872.475</v>
      </c>
      <c r="G89" s="101">
        <v>1958.6875</v>
      </c>
      <c r="H89" s="100">
        <v>2122.0375</v>
      </c>
      <c r="I89" s="100">
        <v>2190.1</v>
      </c>
      <c r="J89" s="101">
        <v>2413.95</v>
      </c>
      <c r="K89" s="100">
        <v>2686.2</v>
      </c>
      <c r="L89" s="100">
        <v>2849.55</v>
      </c>
      <c r="M89" s="100">
        <v>2946.35</v>
      </c>
      <c r="N89" s="15"/>
    </row>
    <row r="90" ht="18.75" customHeight="1" spans="1:14">
      <c r="A90" s="90" t="s">
        <v>81</v>
      </c>
      <c r="B90" s="100">
        <v>4236.5125</v>
      </c>
      <c r="C90" s="100">
        <v>4375.6625</v>
      </c>
      <c r="D90" s="101">
        <v>4416.5</v>
      </c>
      <c r="E90" s="100">
        <v>4582.875</v>
      </c>
      <c r="F90" s="100">
        <v>4747.7375</v>
      </c>
      <c r="G90" s="101">
        <v>5212.075</v>
      </c>
      <c r="H90" s="100">
        <v>5631.0375</v>
      </c>
      <c r="I90" s="100">
        <v>6060.5875</v>
      </c>
      <c r="J90" s="101">
        <v>6685.25</v>
      </c>
      <c r="K90" s="100">
        <v>8395.8875</v>
      </c>
      <c r="L90" s="100">
        <v>9421.3625</v>
      </c>
      <c r="M90" s="100">
        <v>10036.95</v>
      </c>
      <c r="N90" s="15"/>
    </row>
    <row r="91" ht="18.75" customHeight="1" spans="1:14">
      <c r="A91" s="90" t="s">
        <v>82</v>
      </c>
      <c r="B91" s="100">
        <v>5162.1625</v>
      </c>
      <c r="C91" s="100">
        <v>5361.8125</v>
      </c>
      <c r="D91" s="101">
        <v>5401.1375</v>
      </c>
      <c r="E91" s="100">
        <v>4123.075</v>
      </c>
      <c r="F91" s="100">
        <v>5868.5</v>
      </c>
      <c r="G91" s="101">
        <v>6323.7625</v>
      </c>
      <c r="H91" s="100">
        <v>6570.3</v>
      </c>
      <c r="I91" s="100">
        <v>7078.5</v>
      </c>
      <c r="J91" s="101">
        <v>7913.4</v>
      </c>
      <c r="K91" s="100">
        <v>9701.175</v>
      </c>
      <c r="L91" s="100">
        <v>10775.05</v>
      </c>
      <c r="M91" s="100">
        <v>11417.8625</v>
      </c>
      <c r="N91" s="15"/>
    </row>
    <row r="92" ht="18.75" customHeight="1" spans="1:14">
      <c r="A92" s="105" t="s">
        <v>83</v>
      </c>
      <c r="B92" s="100">
        <v>3510.5125</v>
      </c>
      <c r="C92" s="100">
        <v>3555.8875</v>
      </c>
      <c r="D92" s="101">
        <v>3657.225</v>
      </c>
      <c r="E92" s="100">
        <v>4006.6125</v>
      </c>
      <c r="F92" s="100">
        <v>4233.4875</v>
      </c>
      <c r="G92" s="101">
        <v>4590.4375</v>
      </c>
      <c r="H92" s="100">
        <v>4655.475</v>
      </c>
      <c r="I92" s="100">
        <v>4833.95</v>
      </c>
      <c r="J92" s="101">
        <v>5224.175</v>
      </c>
      <c r="K92" s="100">
        <v>6107.475</v>
      </c>
      <c r="L92" s="100">
        <v>6638.3625</v>
      </c>
      <c r="M92" s="100">
        <v>6955.9875</v>
      </c>
      <c r="N92" s="15"/>
    </row>
    <row r="93" ht="18.75" customHeight="1" spans="1:1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ht="23.25" customHeight="1" spans="1:14">
      <c r="A94" s="82" t="s">
        <v>35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5"/>
    </row>
    <row r="95" ht="18.75" customHeight="1" spans="1:14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5" t="s">
        <v>52</v>
      </c>
      <c r="N95" s="15"/>
    </row>
    <row r="96" ht="18.75" customHeight="1" spans="1:14">
      <c r="A96" s="15"/>
      <c r="B96" s="94"/>
      <c r="C96" s="94"/>
      <c r="D96" s="94"/>
      <c r="E96" s="94"/>
      <c r="F96" s="94"/>
      <c r="G96" s="94"/>
      <c r="H96" s="94"/>
      <c r="I96" s="94"/>
      <c r="J96" s="94"/>
      <c r="N96" s="15"/>
    </row>
    <row r="97" ht="21" customHeight="1" spans="1:14">
      <c r="A97" s="96" t="s">
        <v>84</v>
      </c>
      <c r="N97" s="15"/>
    </row>
    <row r="98" ht="21" customHeight="1" spans="1:14">
      <c r="A98" s="96" t="s">
        <v>76</v>
      </c>
      <c r="K98" s="15"/>
      <c r="L98" s="15"/>
      <c r="M98" s="15"/>
      <c r="N98" s="15"/>
    </row>
    <row r="99" ht="21" customHeight="1" spans="1:14">
      <c r="A99" s="97" t="s">
        <v>126</v>
      </c>
      <c r="J99" s="91"/>
      <c r="K99" s="91"/>
      <c r="L99" s="91"/>
      <c r="M99" s="91"/>
      <c r="N99" s="15"/>
    </row>
    <row r="100" ht="28.5" customHeight="1" spans="1:14">
      <c r="A100" s="98"/>
      <c r="B100" s="99" t="s">
        <v>56</v>
      </c>
      <c r="C100" s="86" t="s">
        <v>57</v>
      </c>
      <c r="D100" s="86" t="s">
        <v>58</v>
      </c>
      <c r="E100" s="86" t="s">
        <v>59</v>
      </c>
      <c r="F100" s="86" t="s">
        <v>60</v>
      </c>
      <c r="G100" s="86" t="s">
        <v>61</v>
      </c>
      <c r="H100" s="86" t="s">
        <v>62</v>
      </c>
      <c r="I100" s="86" t="s">
        <v>63</v>
      </c>
      <c r="J100" s="86" t="s">
        <v>64</v>
      </c>
      <c r="K100" s="86" t="s">
        <v>65</v>
      </c>
      <c r="L100" s="86" t="s">
        <v>66</v>
      </c>
      <c r="M100" s="86" t="s">
        <v>67</v>
      </c>
      <c r="N100" s="15"/>
    </row>
    <row r="101" ht="18.75" customHeight="1" spans="1:14">
      <c r="A101" s="90" t="s">
        <v>68</v>
      </c>
      <c r="B101" s="100">
        <v>3704.86875</v>
      </c>
      <c r="C101" s="100">
        <v>3766.5375</v>
      </c>
      <c r="D101" s="101">
        <v>4036.93125</v>
      </c>
      <c r="E101" s="100">
        <v>4362.66875</v>
      </c>
      <c r="F101" s="100">
        <v>4704.21875</v>
      </c>
      <c r="G101" s="101">
        <v>4906.61875</v>
      </c>
      <c r="H101" s="100">
        <v>5145.3875</v>
      </c>
      <c r="I101" s="100">
        <v>5645.0625</v>
      </c>
      <c r="J101" s="101">
        <v>6182.6875</v>
      </c>
      <c r="K101" s="100">
        <v>7526.75</v>
      </c>
      <c r="L101" s="102">
        <v>8333.1875</v>
      </c>
      <c r="M101" s="102">
        <v>8870.8125</v>
      </c>
      <c r="N101" s="15"/>
    </row>
    <row r="102" ht="18.75" customHeight="1" spans="1:14">
      <c r="A102" s="90" t="s">
        <v>18</v>
      </c>
      <c r="B102" s="100">
        <v>3036</v>
      </c>
      <c r="C102" s="100">
        <v>3266.8625</v>
      </c>
      <c r="D102" s="101">
        <v>3546.74375</v>
      </c>
      <c r="E102" s="100">
        <v>3795</v>
      </c>
      <c r="F102" s="100">
        <v>4019.5375</v>
      </c>
      <c r="G102" s="101">
        <v>4212.45</v>
      </c>
      <c r="H102" s="100">
        <v>4452.8</v>
      </c>
      <c r="I102" s="100">
        <v>5086.88125</v>
      </c>
      <c r="J102" s="101">
        <v>5237.1</v>
      </c>
      <c r="K102" s="100">
        <v>6451.5</v>
      </c>
      <c r="L102" s="102">
        <v>7016.00625</v>
      </c>
      <c r="M102" s="102">
        <v>7423.96875</v>
      </c>
      <c r="N102" s="15"/>
    </row>
    <row r="103" ht="18.75" customHeight="1" spans="1:14">
      <c r="A103" s="90" t="s">
        <v>19</v>
      </c>
      <c r="B103" s="100">
        <v>2365.55</v>
      </c>
      <c r="C103" s="100">
        <v>2564.7875</v>
      </c>
      <c r="D103" s="101">
        <v>2795.65</v>
      </c>
      <c r="E103" s="100">
        <v>3005.95625</v>
      </c>
      <c r="F103" s="100">
        <v>3290.58125</v>
      </c>
      <c r="G103" s="101">
        <v>3494.5625</v>
      </c>
      <c r="H103" s="100">
        <v>3633.7125</v>
      </c>
      <c r="I103" s="100">
        <v>3946.8</v>
      </c>
      <c r="J103" s="101">
        <v>4301</v>
      </c>
      <c r="K103" s="100">
        <v>5241.84375</v>
      </c>
      <c r="L103" s="102">
        <v>5806.35</v>
      </c>
      <c r="M103" s="102">
        <v>6182.6875</v>
      </c>
      <c r="N103" s="15"/>
    </row>
    <row r="104" ht="18.75" customHeight="1" spans="1:14">
      <c r="A104" s="90" t="s">
        <v>20</v>
      </c>
      <c r="B104" s="100">
        <v>1963.9125</v>
      </c>
      <c r="C104" s="100">
        <v>2142.59375</v>
      </c>
      <c r="D104" s="101">
        <v>2343.4125</v>
      </c>
      <c r="E104" s="100">
        <v>2531.58125</v>
      </c>
      <c r="F104" s="100">
        <v>2729.2375</v>
      </c>
      <c r="G104" s="101">
        <v>2822.53125</v>
      </c>
      <c r="H104" s="100">
        <v>2968.00625</v>
      </c>
      <c r="I104" s="100">
        <v>3178.3125</v>
      </c>
      <c r="J104" s="101">
        <v>3494.5625</v>
      </c>
      <c r="K104" s="100">
        <v>4209.2875</v>
      </c>
      <c r="L104" s="102">
        <v>4637.80625</v>
      </c>
      <c r="M104" s="102">
        <v>4924.0125</v>
      </c>
      <c r="N104" s="15"/>
    </row>
    <row r="105" ht="18.75" customHeight="1" spans="1:14">
      <c r="A105" s="90" t="s">
        <v>21</v>
      </c>
      <c r="B105" s="100">
        <v>1862.7125</v>
      </c>
      <c r="C105" s="100">
        <v>1886.43125</v>
      </c>
      <c r="D105" s="101">
        <v>1967.075</v>
      </c>
      <c r="E105" s="100">
        <v>2024</v>
      </c>
      <c r="F105" s="100">
        <v>2174.21875</v>
      </c>
      <c r="G105" s="101">
        <v>2280.1625</v>
      </c>
      <c r="H105" s="100">
        <v>2326.01875</v>
      </c>
      <c r="I105" s="100">
        <v>2477.81875</v>
      </c>
      <c r="J105" s="101">
        <v>2805.1375</v>
      </c>
      <c r="K105" s="100">
        <v>3228.9125</v>
      </c>
      <c r="L105" s="102">
        <v>3481.9125</v>
      </c>
      <c r="M105" s="102">
        <v>3651.10625</v>
      </c>
      <c r="N105" s="15"/>
    </row>
    <row r="106" ht="18.75" customHeight="1" spans="1:14">
      <c r="A106" s="90" t="s">
        <v>22</v>
      </c>
      <c r="B106" s="100">
        <v>1419.9625</v>
      </c>
      <c r="C106" s="100">
        <v>1434.19375</v>
      </c>
      <c r="D106" s="101">
        <v>1481.63125</v>
      </c>
      <c r="E106" s="100">
        <v>1516.41875</v>
      </c>
      <c r="F106" s="100">
        <v>1603.3875</v>
      </c>
      <c r="G106" s="101">
        <v>1677.70625</v>
      </c>
      <c r="H106" s="100">
        <v>1704.5875</v>
      </c>
      <c r="I106" s="100">
        <v>1911.73125</v>
      </c>
      <c r="J106" s="101">
        <v>2118.875</v>
      </c>
      <c r="K106" s="100">
        <v>2379.78125</v>
      </c>
      <c r="L106" s="102">
        <v>2534.74375</v>
      </c>
      <c r="M106" s="102">
        <v>2639.10625</v>
      </c>
      <c r="N106" s="15"/>
    </row>
    <row r="107" ht="18.75" customHeight="1" spans="1:14">
      <c r="A107" s="90" t="s">
        <v>23</v>
      </c>
      <c r="B107" s="100">
        <v>4190.3125</v>
      </c>
      <c r="C107" s="100">
        <v>4531.8625</v>
      </c>
      <c r="D107" s="101">
        <v>4740.5875</v>
      </c>
      <c r="E107" s="100">
        <v>5230.775</v>
      </c>
      <c r="F107" s="100">
        <v>5572.325</v>
      </c>
      <c r="G107" s="101">
        <v>5924.94375</v>
      </c>
      <c r="H107" s="100">
        <v>6260.16875</v>
      </c>
      <c r="I107" s="100">
        <v>7020.75</v>
      </c>
      <c r="J107" s="101">
        <v>7798.725</v>
      </c>
      <c r="K107" s="100">
        <v>9780.03125</v>
      </c>
      <c r="L107" s="102">
        <v>10779.38125</v>
      </c>
      <c r="M107" s="102">
        <v>11293.2875</v>
      </c>
      <c r="N107" s="15"/>
    </row>
    <row r="108" ht="18.75" customHeight="1" spans="1:14">
      <c r="A108" s="90" t="s">
        <v>24</v>
      </c>
      <c r="B108" s="100">
        <v>3921.5</v>
      </c>
      <c r="C108" s="100">
        <v>4263.05</v>
      </c>
      <c r="D108" s="101">
        <v>4471.775</v>
      </c>
      <c r="E108" s="100">
        <v>4961.9625</v>
      </c>
      <c r="F108" s="100">
        <v>5303.5125</v>
      </c>
      <c r="G108" s="101">
        <v>5656.13125</v>
      </c>
      <c r="H108" s="100">
        <v>5991.35625</v>
      </c>
      <c r="I108" s="100">
        <v>6751.9375</v>
      </c>
      <c r="J108" s="101">
        <v>7529.9125</v>
      </c>
      <c r="K108" s="100">
        <v>9511.21875</v>
      </c>
      <c r="L108" s="102">
        <v>10510.56875</v>
      </c>
      <c r="M108" s="102">
        <v>11024.475</v>
      </c>
      <c r="N108" s="15"/>
    </row>
    <row r="109" ht="18.75" customHeight="1" spans="1:14">
      <c r="A109" s="90" t="s">
        <v>69</v>
      </c>
      <c r="B109" s="100">
        <v>5026.79375</v>
      </c>
      <c r="C109" s="100">
        <v>5365.18125</v>
      </c>
      <c r="D109" s="101">
        <v>5801.60625</v>
      </c>
      <c r="E109" s="100">
        <v>6528.98125</v>
      </c>
      <c r="F109" s="100">
        <v>6609.625</v>
      </c>
      <c r="G109" s="101">
        <v>7057.11875</v>
      </c>
      <c r="H109" s="100">
        <v>7452.43125</v>
      </c>
      <c r="I109" s="100">
        <v>8288.9125</v>
      </c>
      <c r="J109" s="101">
        <v>9002.05625</v>
      </c>
      <c r="K109" s="100">
        <v>11056.1</v>
      </c>
      <c r="L109" s="102">
        <v>12289.475</v>
      </c>
      <c r="M109" s="102">
        <v>13110.14375</v>
      </c>
      <c r="N109" s="15"/>
    </row>
    <row r="110" ht="18.75" customHeight="1" spans="1:14">
      <c r="A110" s="90" t="s">
        <v>27</v>
      </c>
      <c r="B110" s="100">
        <v>6796.2125</v>
      </c>
      <c r="C110" s="100">
        <v>7142.50625</v>
      </c>
      <c r="D110" s="101">
        <v>7463.5</v>
      </c>
      <c r="E110" s="100">
        <v>7996.38125</v>
      </c>
      <c r="F110" s="100">
        <v>8413.83125</v>
      </c>
      <c r="G110" s="101">
        <v>9332.5375</v>
      </c>
      <c r="H110" s="100">
        <v>10344.5375</v>
      </c>
      <c r="I110" s="100">
        <v>11396.06875</v>
      </c>
      <c r="J110" s="101">
        <v>13069.03125</v>
      </c>
      <c r="K110" s="100">
        <v>15434.58125</v>
      </c>
      <c r="L110" s="102">
        <v>16852.9625</v>
      </c>
      <c r="M110" s="102">
        <v>17705.25625</v>
      </c>
      <c r="N110" s="15"/>
    </row>
    <row r="111" ht="18.75" customHeight="1" spans="1:14">
      <c r="A111" s="105" t="s">
        <v>70</v>
      </c>
      <c r="B111" s="100">
        <v>12294.21875</v>
      </c>
      <c r="C111" s="100">
        <v>12706.925</v>
      </c>
      <c r="D111" s="101">
        <v>13061.125</v>
      </c>
      <c r="E111" s="100">
        <v>13454.85625</v>
      </c>
      <c r="F111" s="100">
        <v>13892.8625</v>
      </c>
      <c r="G111" s="101">
        <v>14860.5875</v>
      </c>
      <c r="H111" s="100">
        <v>15380.81875</v>
      </c>
      <c r="I111" s="100">
        <v>16505.0875</v>
      </c>
      <c r="J111" s="101">
        <v>18551.225</v>
      </c>
      <c r="K111" s="100">
        <v>22067.925</v>
      </c>
      <c r="L111" s="102">
        <v>24178.89375</v>
      </c>
      <c r="M111" s="102">
        <v>25646.29375</v>
      </c>
      <c r="N111" s="15"/>
    </row>
    <row r="112" ht="18.75" customHeight="1" spans="1:14">
      <c r="A112" s="90" t="s">
        <v>71</v>
      </c>
      <c r="B112" s="100">
        <v>1473.725</v>
      </c>
      <c r="C112" s="100">
        <v>1505.35</v>
      </c>
      <c r="D112" s="101">
        <v>1612.875</v>
      </c>
      <c r="E112" s="100">
        <v>1788.39375</v>
      </c>
      <c r="F112" s="100">
        <v>1921.21875</v>
      </c>
      <c r="G112" s="101">
        <v>2038.23125</v>
      </c>
      <c r="H112" s="100">
        <v>2212.16875</v>
      </c>
      <c r="I112" s="100">
        <v>2284.90625</v>
      </c>
      <c r="J112" s="101">
        <v>2553.71875</v>
      </c>
      <c r="K112" s="100">
        <v>2922.15</v>
      </c>
      <c r="L112" s="102">
        <v>3141.94375</v>
      </c>
      <c r="M112" s="102">
        <v>3274.76875</v>
      </c>
      <c r="N112" s="15"/>
    </row>
    <row r="113" ht="18.75" customHeight="1" spans="1:14">
      <c r="A113" s="90" t="s">
        <v>72</v>
      </c>
      <c r="B113" s="100">
        <v>4128.64375</v>
      </c>
      <c r="C113" s="100">
        <v>4256.725</v>
      </c>
      <c r="D113" s="101">
        <v>4315.23125</v>
      </c>
      <c r="E113" s="100">
        <v>4482.84375</v>
      </c>
      <c r="F113" s="100">
        <v>4631.48125</v>
      </c>
      <c r="G113" s="101">
        <v>4987.2625</v>
      </c>
      <c r="H113" s="100">
        <v>5153.29375</v>
      </c>
      <c r="I113" s="100">
        <v>5515.4</v>
      </c>
      <c r="J113" s="101">
        <v>6187.43125</v>
      </c>
      <c r="K113" s="100">
        <v>7465.08125</v>
      </c>
      <c r="L113" s="102">
        <v>8230.40625</v>
      </c>
      <c r="M113" s="102">
        <v>8690.55</v>
      </c>
      <c r="N113" s="15"/>
    </row>
    <row r="114" ht="18.75" customHeight="1" spans="1:14">
      <c r="A114" s="90" t="s">
        <v>73</v>
      </c>
      <c r="B114" s="100">
        <v>1672.9625</v>
      </c>
      <c r="C114" s="100">
        <v>1742.5375</v>
      </c>
      <c r="D114" s="101">
        <v>1867.45625</v>
      </c>
      <c r="E114" s="100">
        <v>1968.65625</v>
      </c>
      <c r="F114" s="100">
        <v>2042.975</v>
      </c>
      <c r="G114" s="101">
        <v>2289.65</v>
      </c>
      <c r="H114" s="100">
        <v>2450.9375</v>
      </c>
      <c r="I114" s="100">
        <v>2854.15625</v>
      </c>
      <c r="J114" s="101">
        <v>3096.0875</v>
      </c>
      <c r="K114" s="100">
        <v>3798.1625</v>
      </c>
      <c r="L114" s="102">
        <v>4218.775</v>
      </c>
      <c r="M114" s="102">
        <v>4471.775</v>
      </c>
      <c r="N114" s="15"/>
    </row>
    <row r="115" ht="18.75" customHeight="1" spans="1:14">
      <c r="A115" s="90" t="s">
        <v>74</v>
      </c>
      <c r="B115" s="100">
        <v>2112.55</v>
      </c>
      <c r="C115" s="100">
        <v>2218.49375</v>
      </c>
      <c r="D115" s="101">
        <v>2365.55</v>
      </c>
      <c r="E115" s="100">
        <v>2450.9375</v>
      </c>
      <c r="F115" s="100">
        <v>2582.18125</v>
      </c>
      <c r="G115" s="101">
        <v>3005.95625</v>
      </c>
      <c r="H115" s="100">
        <v>3208.35625</v>
      </c>
      <c r="I115" s="100">
        <v>3560.975</v>
      </c>
      <c r="J115" s="101">
        <v>3970.51875</v>
      </c>
      <c r="K115" s="100">
        <v>4765.8875</v>
      </c>
      <c r="L115" s="102">
        <v>5243.425</v>
      </c>
      <c r="M115" s="102">
        <v>5529.63125</v>
      </c>
      <c r="N115" s="15"/>
    </row>
    <row r="116" ht="18.75" customHeight="1" spans="1:14">
      <c r="A116" s="90" t="s">
        <v>77</v>
      </c>
      <c r="B116" s="100">
        <v>2789.325</v>
      </c>
      <c r="C116" s="100">
        <v>2863.64375</v>
      </c>
      <c r="D116" s="101">
        <v>3096.0875</v>
      </c>
      <c r="E116" s="100">
        <v>3360.15625</v>
      </c>
      <c r="F116" s="100">
        <v>3562.55625</v>
      </c>
      <c r="G116" s="101">
        <v>4030.60625</v>
      </c>
      <c r="H116" s="100">
        <v>4403.78125</v>
      </c>
      <c r="I116" s="100">
        <v>4778.5375</v>
      </c>
      <c r="J116" s="101">
        <v>5226.03125</v>
      </c>
      <c r="K116" s="100">
        <v>6343.975</v>
      </c>
      <c r="L116" s="102">
        <v>7014.425</v>
      </c>
      <c r="M116" s="102">
        <v>7461.91875</v>
      </c>
      <c r="N116" s="15"/>
    </row>
    <row r="117" ht="18.75" customHeight="1" spans="1:14">
      <c r="A117" s="15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5"/>
      <c r="M117" s="15"/>
      <c r="N117" s="15"/>
    </row>
    <row r="118" ht="23.25" customHeight="1" spans="1:14">
      <c r="A118" s="82" t="s">
        <v>35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5"/>
    </row>
    <row r="119" ht="18.75" customHeight="1" spans="1:14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5" t="s">
        <v>52</v>
      </c>
      <c r="N119" s="15"/>
    </row>
    <row r="120" ht="18.75" customHeight="1" spans="1:14">
      <c r="A120" s="15"/>
      <c r="B120" s="94"/>
      <c r="C120" s="94"/>
      <c r="D120" s="94"/>
      <c r="E120" s="94"/>
      <c r="F120" s="94"/>
      <c r="G120" s="94"/>
      <c r="H120" s="94"/>
      <c r="I120" s="94"/>
      <c r="J120" s="94"/>
      <c r="N120" s="15"/>
    </row>
    <row r="121" ht="21" customHeight="1" spans="1:14">
      <c r="A121" s="96" t="s">
        <v>85</v>
      </c>
      <c r="N121" s="15"/>
    </row>
    <row r="122" ht="21" customHeight="1" spans="1:14">
      <c r="A122" s="96" t="s">
        <v>76</v>
      </c>
      <c r="K122" s="15"/>
      <c r="L122" s="15"/>
      <c r="M122" s="15"/>
      <c r="N122" s="15"/>
    </row>
    <row r="123" ht="21" customHeight="1" spans="1:14">
      <c r="A123" s="97" t="s">
        <v>126</v>
      </c>
      <c r="J123" s="91"/>
      <c r="K123" s="91"/>
      <c r="L123" s="91"/>
      <c r="M123" s="91"/>
      <c r="N123" s="15"/>
    </row>
    <row r="124" ht="28.5" customHeight="1" spans="1:14">
      <c r="A124" s="98"/>
      <c r="B124" s="99" t="s">
        <v>56</v>
      </c>
      <c r="C124" s="86" t="s">
        <v>57</v>
      </c>
      <c r="D124" s="86" t="s">
        <v>58</v>
      </c>
      <c r="E124" s="86" t="s">
        <v>59</v>
      </c>
      <c r="F124" s="86" t="s">
        <v>60</v>
      </c>
      <c r="G124" s="86" t="s">
        <v>61</v>
      </c>
      <c r="H124" s="86" t="s">
        <v>62</v>
      </c>
      <c r="I124" s="86" t="s">
        <v>63</v>
      </c>
      <c r="J124" s="86" t="s">
        <v>64</v>
      </c>
      <c r="K124" s="86" t="s">
        <v>65</v>
      </c>
      <c r="L124" s="86" t="s">
        <v>66</v>
      </c>
      <c r="M124" s="86" t="s">
        <v>67</v>
      </c>
      <c r="N124" s="15"/>
    </row>
    <row r="125" ht="18.75" customHeight="1" spans="1:14">
      <c r="A125" s="90" t="s">
        <v>68</v>
      </c>
      <c r="B125" s="100">
        <v>4038.5125</v>
      </c>
      <c r="C125" s="100">
        <v>4395.875</v>
      </c>
      <c r="D125" s="101">
        <v>4680.5</v>
      </c>
      <c r="E125" s="100">
        <v>5072.65</v>
      </c>
      <c r="F125" s="100">
        <v>5379.4125</v>
      </c>
      <c r="G125" s="101">
        <v>5615.01875</v>
      </c>
      <c r="H125" s="100">
        <v>6157.3875</v>
      </c>
      <c r="I125" s="100">
        <v>6723.475</v>
      </c>
      <c r="J125" s="101">
        <v>7229.475</v>
      </c>
      <c r="K125" s="100">
        <v>9234.5</v>
      </c>
      <c r="L125" s="102">
        <v>10120</v>
      </c>
      <c r="M125" s="102">
        <v>10879</v>
      </c>
      <c r="N125" s="15"/>
    </row>
    <row r="126" ht="18.75" customHeight="1" spans="1:14">
      <c r="A126" s="90" t="s">
        <v>18</v>
      </c>
      <c r="B126" s="100">
        <v>3485.075</v>
      </c>
      <c r="C126" s="100">
        <v>3717.51875</v>
      </c>
      <c r="D126" s="101">
        <v>4048</v>
      </c>
      <c r="E126" s="100">
        <v>4289.93125</v>
      </c>
      <c r="F126" s="100">
        <v>4554</v>
      </c>
      <c r="G126" s="101">
        <v>4671.0125</v>
      </c>
      <c r="H126" s="100">
        <v>5300.35</v>
      </c>
      <c r="I126" s="100">
        <v>11576.33125</v>
      </c>
      <c r="J126" s="101">
        <v>6072</v>
      </c>
      <c r="K126" s="100">
        <v>7843</v>
      </c>
      <c r="L126" s="102">
        <v>8602</v>
      </c>
      <c r="M126" s="102">
        <v>9297.75</v>
      </c>
      <c r="N126" s="15"/>
    </row>
    <row r="127" ht="18.75" customHeight="1" spans="1:14">
      <c r="A127" s="90" t="s">
        <v>19</v>
      </c>
      <c r="B127" s="100">
        <v>2843.0875</v>
      </c>
      <c r="C127" s="100">
        <v>3040.74375</v>
      </c>
      <c r="D127" s="101">
        <v>3289</v>
      </c>
      <c r="E127" s="100">
        <v>3505.63125</v>
      </c>
      <c r="F127" s="100">
        <v>3722.2625</v>
      </c>
      <c r="G127" s="101">
        <v>4108.0875</v>
      </c>
      <c r="H127" s="100">
        <v>4316.8125</v>
      </c>
      <c r="I127" s="100">
        <v>4789.60625</v>
      </c>
      <c r="J127" s="101">
        <v>5060</v>
      </c>
      <c r="K127" s="100">
        <v>6491.03125</v>
      </c>
      <c r="L127" s="102">
        <v>7161.48125</v>
      </c>
      <c r="M127" s="102">
        <v>7607.39375</v>
      </c>
      <c r="N127" s="15"/>
    </row>
    <row r="128" ht="18.75" customHeight="1" spans="1:14">
      <c r="A128" s="90" t="s">
        <v>20</v>
      </c>
      <c r="B128" s="100">
        <v>2596.4125</v>
      </c>
      <c r="C128" s="100">
        <v>2656.5</v>
      </c>
      <c r="D128" s="101">
        <v>2806.71875</v>
      </c>
      <c r="E128" s="100">
        <v>2912.6625</v>
      </c>
      <c r="F128" s="100">
        <v>3187.8</v>
      </c>
      <c r="G128" s="101">
        <v>3323.7875</v>
      </c>
      <c r="H128" s="100">
        <v>3420.24375</v>
      </c>
      <c r="I128" s="100">
        <v>3684.3125</v>
      </c>
      <c r="J128" s="101">
        <v>4225.1</v>
      </c>
      <c r="K128" s="100">
        <v>4952.475</v>
      </c>
      <c r="L128" s="102">
        <v>5388.9</v>
      </c>
      <c r="M128" s="102">
        <v>5651.3875</v>
      </c>
      <c r="N128" s="15"/>
    </row>
    <row r="129" ht="18.75" customHeight="1" spans="1:14">
      <c r="A129" s="90" t="s">
        <v>21</v>
      </c>
      <c r="B129" s="100">
        <v>2065.1125</v>
      </c>
      <c r="C129" s="100">
        <v>2109.3875</v>
      </c>
      <c r="D129" s="101">
        <v>2216.9125</v>
      </c>
      <c r="E129" s="100">
        <v>2291.23125</v>
      </c>
      <c r="F129" s="100">
        <v>2488.8875</v>
      </c>
      <c r="G129" s="101">
        <v>2593.25</v>
      </c>
      <c r="H129" s="100">
        <v>2662.825</v>
      </c>
      <c r="I129" s="100">
        <v>2850.99375</v>
      </c>
      <c r="J129" s="101">
        <v>3244.725</v>
      </c>
      <c r="K129" s="100">
        <v>3772.8625</v>
      </c>
      <c r="L129" s="102">
        <v>4090.69375</v>
      </c>
      <c r="M129" s="102">
        <v>4280.44375</v>
      </c>
      <c r="N129" s="15"/>
    </row>
    <row r="130" ht="18.75" customHeight="1" spans="1:14">
      <c r="A130" s="90" t="s">
        <v>22</v>
      </c>
      <c r="B130" s="100">
        <v>1555.95</v>
      </c>
      <c r="C130" s="100">
        <v>1579.66875</v>
      </c>
      <c r="D130" s="101">
        <v>1641.3375</v>
      </c>
      <c r="E130" s="100">
        <v>1682.45</v>
      </c>
      <c r="F130" s="100">
        <v>1794.71875</v>
      </c>
      <c r="G130" s="101">
        <v>1869.0375</v>
      </c>
      <c r="H130" s="100">
        <v>1906.9875</v>
      </c>
      <c r="I130" s="100">
        <v>2014.5125</v>
      </c>
      <c r="J130" s="101">
        <v>2253.28125</v>
      </c>
      <c r="K130" s="100">
        <v>2564.7875</v>
      </c>
      <c r="L130" s="102">
        <v>2752.95625</v>
      </c>
      <c r="M130" s="102">
        <v>2865.225</v>
      </c>
      <c r="N130" s="15"/>
    </row>
    <row r="131" ht="18.75" customHeight="1" spans="1:14">
      <c r="A131" s="90" t="s">
        <v>23</v>
      </c>
      <c r="B131" s="100">
        <v>4677.3375</v>
      </c>
      <c r="C131" s="100">
        <v>4988.84375</v>
      </c>
      <c r="D131" s="101">
        <v>5486.9375</v>
      </c>
      <c r="E131" s="100">
        <v>5847.4625</v>
      </c>
      <c r="F131" s="100">
        <v>6321.8375</v>
      </c>
      <c r="G131" s="101">
        <v>6954.3375</v>
      </c>
      <c r="H131" s="100">
        <v>7585.25625</v>
      </c>
      <c r="I131" s="100">
        <v>7827.1875</v>
      </c>
      <c r="J131" s="101">
        <v>8606.74375</v>
      </c>
      <c r="K131" s="100">
        <v>10850.5375</v>
      </c>
      <c r="L131" s="102">
        <v>12196.18125</v>
      </c>
      <c r="M131" s="102">
        <v>13092.75</v>
      </c>
      <c r="N131" s="15"/>
    </row>
    <row r="132" ht="18.75" customHeight="1" spans="1:14">
      <c r="A132" s="90" t="s">
        <v>24</v>
      </c>
      <c r="B132" s="100">
        <v>4424.3375</v>
      </c>
      <c r="C132" s="102">
        <v>4735.84375</v>
      </c>
      <c r="D132" s="106">
        <v>5233.9375</v>
      </c>
      <c r="E132" s="102">
        <v>5594.4625</v>
      </c>
      <c r="F132" s="102">
        <v>6068.8375</v>
      </c>
      <c r="G132" s="106">
        <v>6701.3375</v>
      </c>
      <c r="H132" s="102">
        <v>7332.25625</v>
      </c>
      <c r="I132" s="102">
        <v>7574.1875</v>
      </c>
      <c r="J132" s="106">
        <v>8353.74375</v>
      </c>
      <c r="K132" s="102">
        <v>10597.5375</v>
      </c>
      <c r="L132" s="102">
        <v>11943.18125</v>
      </c>
      <c r="M132" s="102">
        <v>12839.75</v>
      </c>
      <c r="N132" s="15"/>
    </row>
    <row r="133" ht="18.75" customHeight="1" spans="1:14">
      <c r="A133" s="90" t="s">
        <v>69</v>
      </c>
      <c r="B133" s="100">
        <v>5539.11875</v>
      </c>
      <c r="C133" s="100">
        <v>6067.25625</v>
      </c>
      <c r="D133" s="101">
        <v>6536.8875</v>
      </c>
      <c r="E133" s="100">
        <v>7039.725</v>
      </c>
      <c r="F133" s="100">
        <v>7325.93125</v>
      </c>
      <c r="G133" s="101">
        <v>7879.36875</v>
      </c>
      <c r="H133" s="100">
        <v>8231.9875</v>
      </c>
      <c r="I133" s="100">
        <v>9000.475</v>
      </c>
      <c r="J133" s="101">
        <v>9984.0125</v>
      </c>
      <c r="K133" s="100">
        <v>12365.375</v>
      </c>
      <c r="L133" s="102">
        <v>13793.24375</v>
      </c>
      <c r="M133" s="102">
        <v>14746.7375</v>
      </c>
      <c r="N133" s="15"/>
    </row>
    <row r="134" ht="18.75" customHeight="1" spans="1:14">
      <c r="A134" s="90" t="s">
        <v>27</v>
      </c>
      <c r="B134" s="100">
        <v>7308.5375</v>
      </c>
      <c r="C134" s="100">
        <v>7676.96875</v>
      </c>
      <c r="D134" s="101">
        <v>7969.5</v>
      </c>
      <c r="E134" s="100">
        <v>8432.80625</v>
      </c>
      <c r="F134" s="100">
        <v>8913.50625</v>
      </c>
      <c r="G134" s="101">
        <v>9648.7875</v>
      </c>
      <c r="H134" s="100">
        <v>10268.6375</v>
      </c>
      <c r="I134" s="100">
        <v>11641.1625</v>
      </c>
      <c r="J134" s="101">
        <v>13742.64375</v>
      </c>
      <c r="K134" s="100">
        <v>16639.49375</v>
      </c>
      <c r="L134" s="102">
        <v>1837.4125</v>
      </c>
      <c r="M134" s="102">
        <v>19420.9125</v>
      </c>
      <c r="N134" s="15"/>
    </row>
    <row r="135" ht="18.75" customHeight="1" spans="1:14">
      <c r="A135" s="105" t="s">
        <v>70</v>
      </c>
      <c r="B135" s="100">
        <v>13051.6375</v>
      </c>
      <c r="C135" s="100">
        <v>13494.3875</v>
      </c>
      <c r="D135" s="106">
        <v>13865.98125</v>
      </c>
      <c r="E135" s="102">
        <v>14285.0125</v>
      </c>
      <c r="F135" s="102">
        <v>14753.0625</v>
      </c>
      <c r="G135" s="106">
        <v>15793.525</v>
      </c>
      <c r="H135" s="102">
        <v>16359.6125</v>
      </c>
      <c r="I135" s="102">
        <v>17586.6625</v>
      </c>
      <c r="J135" s="106">
        <v>19659.68125</v>
      </c>
      <c r="K135" s="102">
        <v>23263.35</v>
      </c>
      <c r="L135" s="102">
        <v>25424.91875</v>
      </c>
      <c r="M135" s="102">
        <v>26723.125</v>
      </c>
      <c r="N135" s="15"/>
    </row>
    <row r="136" ht="18.75" customHeight="1" spans="1:14">
      <c r="A136" s="90" t="s">
        <v>71</v>
      </c>
      <c r="B136" s="102">
        <v>1514.8375</v>
      </c>
      <c r="C136" s="102">
        <v>1543.3</v>
      </c>
      <c r="D136" s="106">
        <v>1644.5</v>
      </c>
      <c r="E136" s="102">
        <v>1808.95</v>
      </c>
      <c r="F136" s="102">
        <v>1933.86875</v>
      </c>
      <c r="G136" s="106">
        <v>2044.55625</v>
      </c>
      <c r="H136" s="102">
        <v>2209.00625</v>
      </c>
      <c r="I136" s="102">
        <v>2277</v>
      </c>
      <c r="J136" s="106">
        <v>2530</v>
      </c>
      <c r="K136" s="102">
        <v>2876.29375</v>
      </c>
      <c r="L136" s="102">
        <v>3083.4375</v>
      </c>
      <c r="M136" s="102">
        <v>3209.9375</v>
      </c>
      <c r="N136" s="15"/>
    </row>
    <row r="137" ht="18.75" customHeight="1" spans="1:14">
      <c r="A137" s="90" t="s">
        <v>81</v>
      </c>
      <c r="B137" s="102">
        <v>4236.16875</v>
      </c>
      <c r="C137" s="102">
        <v>4416.43125</v>
      </c>
      <c r="D137" s="106">
        <v>4476.51875</v>
      </c>
      <c r="E137" s="102">
        <v>4675.75625</v>
      </c>
      <c r="F137" s="102">
        <v>4887.64375</v>
      </c>
      <c r="G137" s="106">
        <v>5399.96875</v>
      </c>
      <c r="H137" s="102">
        <v>5765.2375</v>
      </c>
      <c r="I137" s="102">
        <v>6336.06875</v>
      </c>
      <c r="J137" s="106">
        <v>7090.325</v>
      </c>
      <c r="K137" s="102">
        <v>8717.43125</v>
      </c>
      <c r="L137" s="102">
        <v>9693.0625</v>
      </c>
      <c r="M137" s="102">
        <v>10279.70625</v>
      </c>
      <c r="N137" s="15"/>
    </row>
    <row r="138" ht="18.75" customHeight="1" spans="1:14">
      <c r="A138" s="90" t="s">
        <v>82</v>
      </c>
      <c r="B138" s="102">
        <v>5501.16875</v>
      </c>
      <c r="C138" s="102">
        <v>5681.43125</v>
      </c>
      <c r="D138" s="106">
        <v>5741.51875</v>
      </c>
      <c r="E138" s="102">
        <v>5940.75625</v>
      </c>
      <c r="F138" s="102">
        <v>6152.64375</v>
      </c>
      <c r="G138" s="106">
        <v>6664.96875</v>
      </c>
      <c r="H138" s="102">
        <v>7030.2375</v>
      </c>
      <c r="I138" s="102">
        <v>7601.06875</v>
      </c>
      <c r="J138" s="106">
        <v>8355.325</v>
      </c>
      <c r="K138" s="102">
        <v>9982.43125</v>
      </c>
      <c r="L138" s="102">
        <v>10958.0625</v>
      </c>
      <c r="M138" s="102">
        <v>11544.70625</v>
      </c>
      <c r="N138" s="15"/>
    </row>
    <row r="139" ht="18.75" customHeight="1" spans="1:14">
      <c r="A139" s="90" t="s">
        <v>39</v>
      </c>
      <c r="B139" s="102">
        <v>3795</v>
      </c>
      <c r="C139" s="102">
        <v>4289.93125</v>
      </c>
      <c r="D139" s="106">
        <v>4350.01875</v>
      </c>
      <c r="E139" s="102">
        <v>4549.25625</v>
      </c>
      <c r="F139" s="102">
        <v>4761.14375</v>
      </c>
      <c r="G139" s="106">
        <v>5146.96875</v>
      </c>
      <c r="H139" s="102">
        <v>5385.7375</v>
      </c>
      <c r="I139" s="102">
        <v>5830.06875</v>
      </c>
      <c r="J139" s="106">
        <v>6454.6625</v>
      </c>
      <c r="K139" s="102">
        <v>7958.43125</v>
      </c>
      <c r="L139" s="102">
        <v>8859.74375</v>
      </c>
      <c r="M139" s="102">
        <v>9402.1125</v>
      </c>
      <c r="N139" s="15"/>
    </row>
    <row r="140" ht="18.75" customHeight="1" spans="1:1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 ht="23.25" customHeight="1" spans="1:14">
      <c r="A141" s="82" t="s">
        <v>35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ht="18.75" customHeight="1" spans="1:14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5" t="s">
        <v>52</v>
      </c>
      <c r="N142" s="15"/>
    </row>
    <row r="143" ht="18.75" customHeight="1" spans="1:14">
      <c r="A143" s="15"/>
      <c r="B143" s="94"/>
      <c r="C143" s="94"/>
      <c r="D143" s="94"/>
      <c r="E143" s="94"/>
      <c r="F143" s="94"/>
      <c r="G143" s="94"/>
      <c r="H143" s="94"/>
      <c r="I143" s="94"/>
      <c r="J143" s="94"/>
      <c r="N143" s="15"/>
    </row>
    <row r="144" ht="21" customHeight="1" spans="1:14">
      <c r="A144" s="96" t="s">
        <v>86</v>
      </c>
      <c r="N144" s="15"/>
    </row>
    <row r="145" ht="21" customHeight="1" spans="1:14">
      <c r="A145" s="96" t="s">
        <v>87</v>
      </c>
      <c r="J145" s="15"/>
      <c r="K145" s="15"/>
      <c r="L145" s="15"/>
      <c r="M145" s="15"/>
      <c r="N145" s="15"/>
    </row>
    <row r="146" ht="21" customHeight="1" spans="1:14">
      <c r="A146" s="97" t="s">
        <v>126</v>
      </c>
      <c r="J146" s="91"/>
      <c r="K146" s="91"/>
      <c r="L146" s="91"/>
      <c r="M146" s="91"/>
      <c r="N146" s="15"/>
    </row>
    <row r="147" ht="28.5" customHeight="1" spans="1:14">
      <c r="A147" s="98"/>
      <c r="B147" s="99" t="s">
        <v>56</v>
      </c>
      <c r="C147" s="86" t="s">
        <v>57</v>
      </c>
      <c r="D147" s="86" t="s">
        <v>58</v>
      </c>
      <c r="E147" s="86" t="s">
        <v>59</v>
      </c>
      <c r="F147" s="86" t="s">
        <v>60</v>
      </c>
      <c r="G147" s="86" t="s">
        <v>61</v>
      </c>
      <c r="H147" s="86" t="s">
        <v>62</v>
      </c>
      <c r="I147" s="86" t="s">
        <v>63</v>
      </c>
      <c r="J147" s="86" t="s">
        <v>64</v>
      </c>
      <c r="K147" s="86" t="s">
        <v>65</v>
      </c>
      <c r="L147" s="86" t="s">
        <v>66</v>
      </c>
      <c r="M147" s="86" t="s">
        <v>67</v>
      </c>
      <c r="N147" s="15"/>
    </row>
    <row r="148" ht="18.75" customHeight="1" spans="1:14">
      <c r="A148" s="90" t="s">
        <v>68</v>
      </c>
      <c r="B148" s="100">
        <v>3327.5</v>
      </c>
      <c r="C148" s="100">
        <v>3554.375</v>
      </c>
      <c r="D148" s="101">
        <v>3841.75</v>
      </c>
      <c r="E148" s="100">
        <v>3996.025</v>
      </c>
      <c r="F148" s="100">
        <v>4386.25</v>
      </c>
      <c r="G148" s="101">
        <v>4694.8</v>
      </c>
      <c r="H148" s="100">
        <v>4991.25</v>
      </c>
      <c r="I148" s="100">
        <v>5370.8875</v>
      </c>
      <c r="J148" s="101">
        <v>6071.175</v>
      </c>
      <c r="K148" s="100">
        <v>7126.9</v>
      </c>
      <c r="L148" s="102">
        <v>7760.6375</v>
      </c>
      <c r="M148" s="102">
        <v>8182.625</v>
      </c>
      <c r="N148" s="15"/>
    </row>
    <row r="149" ht="18.75" customHeight="1" spans="1:14">
      <c r="A149" s="90" t="s">
        <v>18</v>
      </c>
      <c r="B149" s="100">
        <v>2838.9625</v>
      </c>
      <c r="C149" s="100">
        <v>3025</v>
      </c>
      <c r="D149" s="101">
        <v>3245.825</v>
      </c>
      <c r="E149" s="100">
        <v>3512.025</v>
      </c>
      <c r="F149" s="100">
        <v>3752.5125</v>
      </c>
      <c r="G149" s="101">
        <v>3943.0875</v>
      </c>
      <c r="H149" s="100">
        <v>4048.9625</v>
      </c>
      <c r="I149" s="100">
        <v>4324.2375</v>
      </c>
      <c r="J149" s="101">
        <v>4858.15</v>
      </c>
      <c r="K149" s="100">
        <v>5658.2625</v>
      </c>
      <c r="L149" s="102">
        <v>6137.725</v>
      </c>
      <c r="M149" s="102">
        <v>6458.375</v>
      </c>
      <c r="N149" s="15"/>
    </row>
    <row r="150" ht="18.75" customHeight="1" spans="1:14">
      <c r="A150" s="90" t="s">
        <v>19</v>
      </c>
      <c r="B150" s="100">
        <v>2327.7375</v>
      </c>
      <c r="C150" s="100">
        <v>2485.0375</v>
      </c>
      <c r="D150" s="101">
        <v>2648.3875</v>
      </c>
      <c r="E150" s="100">
        <v>2876.775</v>
      </c>
      <c r="F150" s="100">
        <v>3037.1</v>
      </c>
      <c r="G150" s="101">
        <v>3325.9875</v>
      </c>
      <c r="H150" s="100">
        <v>3397.075</v>
      </c>
      <c r="I150" s="100">
        <v>3580.0875</v>
      </c>
      <c r="J150" s="101">
        <v>3947.625</v>
      </c>
      <c r="K150" s="100">
        <v>4490.6125</v>
      </c>
      <c r="L150" s="102">
        <v>4815.8</v>
      </c>
      <c r="M150" s="102">
        <v>5033.6</v>
      </c>
      <c r="N150" s="15"/>
    </row>
    <row r="151" ht="18.75" customHeight="1" spans="1:14">
      <c r="A151" s="90" t="s">
        <v>20</v>
      </c>
      <c r="B151" s="100">
        <v>1929.95</v>
      </c>
      <c r="C151" s="100">
        <v>2129.6</v>
      </c>
      <c r="D151" s="101">
        <v>2246.0625</v>
      </c>
      <c r="E151" s="100">
        <v>2321.6875</v>
      </c>
      <c r="F151" s="100">
        <v>2536.4625</v>
      </c>
      <c r="G151" s="101">
        <v>2658.975</v>
      </c>
      <c r="H151" s="100">
        <v>2713.425</v>
      </c>
      <c r="I151" s="100">
        <v>2914.5875</v>
      </c>
      <c r="J151" s="101">
        <v>3185.325</v>
      </c>
      <c r="K151" s="100">
        <v>3900.7375</v>
      </c>
      <c r="L151" s="102">
        <v>4239.5375</v>
      </c>
      <c r="M151" s="102">
        <v>4442.2125</v>
      </c>
      <c r="N151" s="15"/>
    </row>
    <row r="152" ht="18.75" customHeight="1" spans="1:14">
      <c r="A152" s="90" t="s">
        <v>21</v>
      </c>
      <c r="B152" s="100">
        <v>1551.825</v>
      </c>
      <c r="C152" s="100">
        <v>1725.7625</v>
      </c>
      <c r="D152" s="101">
        <v>1804.4125</v>
      </c>
      <c r="E152" s="100">
        <v>1857.35</v>
      </c>
      <c r="F152" s="100">
        <v>2008.6</v>
      </c>
      <c r="G152" s="101">
        <v>2256.65</v>
      </c>
      <c r="H152" s="100">
        <v>2292.95</v>
      </c>
      <c r="I152" s="100">
        <v>2430.5875</v>
      </c>
      <c r="J152" s="101">
        <v>2733.0875</v>
      </c>
      <c r="K152" s="100">
        <v>3144.4875</v>
      </c>
      <c r="L152" s="102">
        <v>3391.025</v>
      </c>
      <c r="M152" s="102">
        <v>3539.25</v>
      </c>
      <c r="N152" s="15"/>
    </row>
    <row r="153" ht="18.75" customHeight="1" spans="1:14">
      <c r="A153" s="90" t="s">
        <v>22</v>
      </c>
      <c r="B153" s="100">
        <v>1300.75</v>
      </c>
      <c r="C153" s="100">
        <v>1465.6125</v>
      </c>
      <c r="D153" s="101">
        <v>1512.5</v>
      </c>
      <c r="E153" s="100">
        <v>1545.775</v>
      </c>
      <c r="F153" s="100">
        <v>1636.525</v>
      </c>
      <c r="G153" s="101">
        <v>1706.1</v>
      </c>
      <c r="H153" s="100">
        <v>1728.7875</v>
      </c>
      <c r="I153" s="100">
        <v>1811.975</v>
      </c>
      <c r="J153" s="101">
        <v>2005.575</v>
      </c>
      <c r="K153" s="100">
        <v>2256.65</v>
      </c>
      <c r="L153" s="102">
        <v>2407.9</v>
      </c>
      <c r="M153" s="102">
        <v>2497.1375</v>
      </c>
      <c r="N153" s="15"/>
    </row>
    <row r="154" ht="18.75" customHeight="1" spans="1:14">
      <c r="A154" s="90" t="s">
        <v>23</v>
      </c>
      <c r="B154" s="100">
        <v>3826.625</v>
      </c>
      <c r="C154" s="100">
        <v>4048.9625</v>
      </c>
      <c r="D154" s="101">
        <v>4272.8125</v>
      </c>
      <c r="E154" s="100">
        <v>4511.7875</v>
      </c>
      <c r="F154" s="100">
        <v>4587.4125</v>
      </c>
      <c r="G154" s="101">
        <v>4814.2875</v>
      </c>
      <c r="H154" s="100">
        <v>5218.125</v>
      </c>
      <c r="I154" s="100">
        <v>5823.125</v>
      </c>
      <c r="J154" s="101">
        <v>6859.1875</v>
      </c>
      <c r="K154" s="100">
        <v>8404.9625</v>
      </c>
      <c r="L154" s="102">
        <v>9332.125</v>
      </c>
      <c r="M154" s="102">
        <v>9950.7375</v>
      </c>
      <c r="N154" s="15"/>
    </row>
    <row r="155" ht="18.75" customHeight="1" spans="1:14">
      <c r="A155" s="90" t="s">
        <v>24</v>
      </c>
      <c r="B155" s="100">
        <v>3524.125</v>
      </c>
      <c r="C155" s="100">
        <v>3746.4625</v>
      </c>
      <c r="D155" s="101">
        <v>3970.3125</v>
      </c>
      <c r="E155" s="100">
        <v>4209.2875</v>
      </c>
      <c r="F155" s="100">
        <v>4284.9125</v>
      </c>
      <c r="G155" s="101">
        <v>4511.7875</v>
      </c>
      <c r="H155" s="100">
        <v>4915.625</v>
      </c>
      <c r="I155" s="100">
        <v>5520.625</v>
      </c>
      <c r="J155" s="101">
        <v>6556.6875</v>
      </c>
      <c r="K155" s="100">
        <v>8102.4625</v>
      </c>
      <c r="L155" s="102">
        <v>9029.625</v>
      </c>
      <c r="M155" s="102">
        <v>9648.2375</v>
      </c>
      <c r="N155" s="15"/>
    </row>
    <row r="156" ht="18.75" customHeight="1" spans="1:14">
      <c r="A156" s="90" t="s">
        <v>69</v>
      </c>
      <c r="B156" s="100">
        <v>5461.6375</v>
      </c>
      <c r="C156" s="100">
        <v>5676.4125</v>
      </c>
      <c r="D156" s="101">
        <v>6000.0875</v>
      </c>
      <c r="E156" s="100">
        <v>6599.0375</v>
      </c>
      <c r="F156" s="100">
        <v>6877.3375</v>
      </c>
      <c r="G156" s="101">
        <v>7352.2625</v>
      </c>
      <c r="H156" s="100">
        <v>7780.3</v>
      </c>
      <c r="I156" s="100">
        <v>8683.2625</v>
      </c>
      <c r="J156" s="101">
        <v>9279.1875</v>
      </c>
      <c r="K156" s="100">
        <v>11457.1875</v>
      </c>
      <c r="L156" s="102">
        <v>12763.9875</v>
      </c>
      <c r="M156" s="102">
        <v>13635.1875</v>
      </c>
      <c r="N156" s="15"/>
    </row>
    <row r="157" ht="18.75" customHeight="1" spans="1:14">
      <c r="A157" s="90" t="s">
        <v>27</v>
      </c>
      <c r="B157" s="100">
        <v>7076.9875</v>
      </c>
      <c r="C157" s="100">
        <v>7272.1</v>
      </c>
      <c r="D157" s="101">
        <v>7583.675</v>
      </c>
      <c r="E157" s="100">
        <v>8273.375</v>
      </c>
      <c r="F157" s="100">
        <v>8535.0375</v>
      </c>
      <c r="G157" s="101">
        <v>9469.7625</v>
      </c>
      <c r="H157" s="100">
        <v>10247.1875</v>
      </c>
      <c r="I157" s="100">
        <v>11147.125</v>
      </c>
      <c r="J157" s="101">
        <v>13013.55</v>
      </c>
      <c r="K157" s="100">
        <v>15244.4875</v>
      </c>
      <c r="L157" s="102">
        <v>16583.05</v>
      </c>
      <c r="M157" s="102">
        <v>17386.1875</v>
      </c>
      <c r="N157" s="15"/>
    </row>
    <row r="158" ht="18.75" customHeight="1" spans="1:14">
      <c r="A158" s="105" t="s">
        <v>70</v>
      </c>
      <c r="B158" s="100">
        <v>13142.1125</v>
      </c>
      <c r="C158" s="100">
        <v>13552</v>
      </c>
      <c r="D158" s="101">
        <v>13896.85</v>
      </c>
      <c r="E158" s="100">
        <v>14282.5375</v>
      </c>
      <c r="F158" s="100">
        <v>14716.625</v>
      </c>
      <c r="G158" s="101">
        <v>15704.2875</v>
      </c>
      <c r="H158" s="100">
        <v>16227.6125</v>
      </c>
      <c r="I158" s="100">
        <v>17355.9375</v>
      </c>
      <c r="J158" s="101">
        <v>19464.3625</v>
      </c>
      <c r="K158" s="100">
        <v>22952.1875</v>
      </c>
      <c r="L158" s="102">
        <v>25045.4875</v>
      </c>
      <c r="M158" s="102">
        <v>15427.5</v>
      </c>
      <c r="N158" s="15"/>
    </row>
    <row r="159" ht="18.75" customHeight="1" spans="1:14">
      <c r="A159" s="90" t="s">
        <v>71</v>
      </c>
      <c r="B159" s="100">
        <v>1492.8375</v>
      </c>
      <c r="C159" s="100">
        <v>1524.6</v>
      </c>
      <c r="D159" s="101">
        <v>1633.5</v>
      </c>
      <c r="E159" s="100">
        <v>1810.4625</v>
      </c>
      <c r="F159" s="100">
        <v>1945.075</v>
      </c>
      <c r="G159" s="101">
        <v>2063.05</v>
      </c>
      <c r="H159" s="100">
        <v>2240.0125</v>
      </c>
      <c r="I159" s="100">
        <v>2314.125</v>
      </c>
      <c r="J159" s="101">
        <v>2586.375</v>
      </c>
      <c r="K159" s="100">
        <v>2959.9625</v>
      </c>
      <c r="L159" s="102">
        <v>3183.8125</v>
      </c>
      <c r="M159" s="102">
        <v>3316.9125</v>
      </c>
      <c r="N159" s="15"/>
    </row>
    <row r="160" ht="18.75" customHeight="1" spans="1:14">
      <c r="A160" s="90" t="s">
        <v>72</v>
      </c>
      <c r="B160" s="100">
        <v>4449.775</v>
      </c>
      <c r="C160" s="100">
        <v>4584.3875</v>
      </c>
      <c r="D160" s="101">
        <v>4640.35</v>
      </c>
      <c r="E160" s="100">
        <v>4818.825</v>
      </c>
      <c r="F160" s="100">
        <v>4977.6375</v>
      </c>
      <c r="G160" s="101">
        <v>5358.7875</v>
      </c>
      <c r="H160" s="100">
        <v>5535.75</v>
      </c>
      <c r="I160" s="100">
        <v>5922.95</v>
      </c>
      <c r="J160" s="101">
        <v>6648.95</v>
      </c>
      <c r="K160" s="100">
        <v>8020.7875</v>
      </c>
      <c r="L160" s="102">
        <v>8843.5875</v>
      </c>
      <c r="M160" s="102">
        <v>9338.175</v>
      </c>
      <c r="N160" s="15"/>
    </row>
    <row r="161" ht="18.75" customHeight="1" spans="1:14">
      <c r="A161" s="90" t="s">
        <v>73</v>
      </c>
      <c r="B161" s="100">
        <v>1678.875</v>
      </c>
      <c r="C161" s="100">
        <v>1733.325</v>
      </c>
      <c r="D161" s="101">
        <v>1836.175</v>
      </c>
      <c r="E161" s="100">
        <v>2032.8</v>
      </c>
      <c r="F161" s="100">
        <v>2114.475</v>
      </c>
      <c r="G161" s="101">
        <v>2354.9625</v>
      </c>
      <c r="H161" s="100">
        <v>2571.25</v>
      </c>
      <c r="I161" s="100">
        <v>2943.325</v>
      </c>
      <c r="J161" s="101">
        <v>3185.325</v>
      </c>
      <c r="K161" s="100">
        <v>3770.6625</v>
      </c>
      <c r="L161" s="102">
        <v>4121.5625</v>
      </c>
      <c r="M161" s="102">
        <v>4333.3125</v>
      </c>
      <c r="N161" s="15"/>
    </row>
    <row r="162" ht="18.75" customHeight="1" spans="1:14">
      <c r="A162" s="90" t="s">
        <v>74</v>
      </c>
      <c r="B162" s="100">
        <v>2211.275</v>
      </c>
      <c r="C162" s="100">
        <v>2288.4125</v>
      </c>
      <c r="D162" s="101">
        <v>2556.125</v>
      </c>
      <c r="E162" s="100">
        <v>2619.65</v>
      </c>
      <c r="F162" s="100">
        <v>2798.125</v>
      </c>
      <c r="G162" s="101">
        <v>3226.1625</v>
      </c>
      <c r="H162" s="100">
        <v>3386.4875</v>
      </c>
      <c r="I162" s="100">
        <v>3719.2375</v>
      </c>
      <c r="J162" s="101">
        <v>3986.95</v>
      </c>
      <c r="K162" s="100">
        <v>4853.6125</v>
      </c>
      <c r="L162" s="102">
        <v>5373.9125</v>
      </c>
      <c r="M162" s="102">
        <v>5685.4875</v>
      </c>
      <c r="N162" s="15"/>
    </row>
    <row r="163" ht="18.75" customHeight="1" spans="1:14">
      <c r="A163" s="15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5"/>
      <c r="M163" s="15"/>
      <c r="N163" s="15"/>
    </row>
    <row r="164" ht="23.25" customHeight="1" spans="1:14">
      <c r="A164" s="82" t="s">
        <v>35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5"/>
    </row>
    <row r="165" ht="18.75" customHeight="1" spans="1:14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5" t="s">
        <v>52</v>
      </c>
      <c r="N165" s="15"/>
    </row>
    <row r="166" ht="18.75" customHeight="1" spans="1:14">
      <c r="A166" s="15"/>
      <c r="B166" s="94"/>
      <c r="C166" s="94"/>
      <c r="D166" s="94"/>
      <c r="E166" s="94"/>
      <c r="F166" s="94"/>
      <c r="G166" s="94"/>
      <c r="H166" s="94"/>
      <c r="I166" s="94"/>
      <c r="J166" s="94"/>
      <c r="N166" s="15"/>
    </row>
    <row r="167" ht="21" customHeight="1" spans="1:14">
      <c r="A167" s="96" t="s">
        <v>88</v>
      </c>
      <c r="N167" s="15"/>
    </row>
    <row r="168" ht="21" customHeight="1" spans="1:14">
      <c r="A168" s="96" t="s">
        <v>87</v>
      </c>
      <c r="J168" s="15"/>
      <c r="K168" s="15"/>
      <c r="L168" s="15"/>
      <c r="M168" s="15"/>
      <c r="N168" s="15"/>
    </row>
    <row r="169" ht="21" customHeight="1" spans="1:14">
      <c r="A169" s="97" t="s">
        <v>126</v>
      </c>
      <c r="J169" s="91"/>
      <c r="K169" s="91"/>
      <c r="L169" s="91"/>
      <c r="M169" s="91"/>
      <c r="N169" s="15"/>
    </row>
    <row r="170" ht="28.5" customHeight="1" spans="1:14">
      <c r="A170" s="98"/>
      <c r="B170" s="99" t="s">
        <v>56</v>
      </c>
      <c r="C170" s="86" t="s">
        <v>57</v>
      </c>
      <c r="D170" s="86" t="s">
        <v>58</v>
      </c>
      <c r="E170" s="86" t="s">
        <v>59</v>
      </c>
      <c r="F170" s="86" t="s">
        <v>60</v>
      </c>
      <c r="G170" s="86" t="s">
        <v>61</v>
      </c>
      <c r="H170" s="86" t="s">
        <v>62</v>
      </c>
      <c r="I170" s="86" t="s">
        <v>63</v>
      </c>
      <c r="J170" s="86" t="s">
        <v>64</v>
      </c>
      <c r="K170" s="86" t="s">
        <v>65</v>
      </c>
      <c r="L170" s="86" t="s">
        <v>66</v>
      </c>
      <c r="M170" s="86" t="s">
        <v>67</v>
      </c>
      <c r="N170" s="15"/>
    </row>
    <row r="171" ht="18.75" customHeight="1" spans="1:14">
      <c r="A171" s="90" t="s">
        <v>68</v>
      </c>
      <c r="B171" s="100">
        <v>4008.125</v>
      </c>
      <c r="C171" s="100">
        <v>4204.75</v>
      </c>
      <c r="D171" s="101">
        <v>4564.725</v>
      </c>
      <c r="E171" s="100">
        <v>5098.6375</v>
      </c>
      <c r="F171" s="100">
        <v>5293.75</v>
      </c>
      <c r="G171" s="101">
        <v>5432.9</v>
      </c>
      <c r="H171" s="100">
        <v>6585.425</v>
      </c>
      <c r="I171" s="100">
        <v>6915.15</v>
      </c>
      <c r="J171" s="101">
        <v>7253.95</v>
      </c>
      <c r="K171" s="100">
        <v>9226.25</v>
      </c>
      <c r="L171" s="100">
        <v>10409.025</v>
      </c>
      <c r="M171" s="100">
        <v>11198.55</v>
      </c>
      <c r="N171" s="15"/>
    </row>
    <row r="172" ht="18.75" customHeight="1" spans="1:14">
      <c r="A172" s="90" t="s">
        <v>18</v>
      </c>
      <c r="B172" s="100">
        <v>3327.5</v>
      </c>
      <c r="C172" s="100">
        <v>3543.7875</v>
      </c>
      <c r="D172" s="101">
        <v>3884.1</v>
      </c>
      <c r="E172" s="100">
        <v>4386.25</v>
      </c>
      <c r="F172" s="100">
        <v>4537.5</v>
      </c>
      <c r="G172" s="101">
        <v>4673.625</v>
      </c>
      <c r="H172" s="100">
        <v>5602.3</v>
      </c>
      <c r="I172" s="100">
        <v>5898.75</v>
      </c>
      <c r="J172" s="101">
        <v>6119.575</v>
      </c>
      <c r="K172" s="100">
        <v>7865</v>
      </c>
      <c r="L172" s="100">
        <v>8911.65</v>
      </c>
      <c r="M172" s="100">
        <v>9610.425</v>
      </c>
      <c r="N172" s="15"/>
    </row>
    <row r="173" ht="18.75" customHeight="1" spans="1:14">
      <c r="A173" s="90" t="s">
        <v>19</v>
      </c>
      <c r="B173" s="100">
        <v>2761.825</v>
      </c>
      <c r="C173" s="100">
        <v>2873.75</v>
      </c>
      <c r="D173" s="101">
        <v>3176.25</v>
      </c>
      <c r="E173" s="100">
        <v>3534.7125</v>
      </c>
      <c r="F173" s="100">
        <v>3705.625</v>
      </c>
      <c r="G173" s="101">
        <v>3781.25</v>
      </c>
      <c r="H173" s="100">
        <v>4619.175</v>
      </c>
      <c r="I173" s="100">
        <v>4867.225</v>
      </c>
      <c r="J173" s="101">
        <v>5054.775</v>
      </c>
      <c r="K173" s="100">
        <v>6606.6</v>
      </c>
      <c r="L173" s="100">
        <v>7538.3</v>
      </c>
      <c r="M173" s="100">
        <v>8158.425</v>
      </c>
      <c r="N173" s="15"/>
    </row>
    <row r="174" ht="18.75" customHeight="1" spans="1:14">
      <c r="A174" s="90" t="s">
        <v>20</v>
      </c>
      <c r="B174" s="100">
        <v>2226.4</v>
      </c>
      <c r="C174" s="100">
        <v>2271.775</v>
      </c>
      <c r="D174" s="101">
        <v>2513.775</v>
      </c>
      <c r="E174" s="100">
        <v>2967.525</v>
      </c>
      <c r="F174" s="100">
        <v>3074.9125</v>
      </c>
      <c r="G174" s="101">
        <v>3176.25</v>
      </c>
      <c r="H174" s="100">
        <v>3614.875</v>
      </c>
      <c r="I174" s="100">
        <v>3894.6875</v>
      </c>
      <c r="J174" s="101">
        <v>4458.85</v>
      </c>
      <c r="K174" s="100">
        <v>5237.7875</v>
      </c>
      <c r="L174" s="100">
        <v>5705.15</v>
      </c>
      <c r="M174" s="100">
        <v>5984.9625</v>
      </c>
      <c r="N174" s="15"/>
    </row>
    <row r="175" ht="18.75" customHeight="1" spans="1:14">
      <c r="A175" s="90" t="s">
        <v>21</v>
      </c>
      <c r="B175" s="100">
        <v>1815</v>
      </c>
      <c r="C175" s="100">
        <v>1969.275</v>
      </c>
      <c r="D175" s="101">
        <v>2117.5</v>
      </c>
      <c r="E175" s="100">
        <v>2303.5375</v>
      </c>
      <c r="F175" s="100">
        <v>2515.2875</v>
      </c>
      <c r="G175" s="101">
        <v>2766.3625</v>
      </c>
      <c r="H175" s="100">
        <v>2843.5</v>
      </c>
      <c r="I175" s="100">
        <v>3043.15</v>
      </c>
      <c r="J175" s="101">
        <v>3456.0625</v>
      </c>
      <c r="K175" s="100">
        <v>4021.7375</v>
      </c>
      <c r="L175" s="100">
        <v>4360.5375</v>
      </c>
      <c r="M175" s="100">
        <v>4564.725</v>
      </c>
      <c r="N175" s="15"/>
    </row>
    <row r="176" ht="18.75" customHeight="1" spans="1:14">
      <c r="A176" s="90" t="s">
        <v>22</v>
      </c>
      <c r="B176" s="100">
        <v>1566.95</v>
      </c>
      <c r="C176" s="100">
        <v>1628.9625</v>
      </c>
      <c r="D176" s="101">
        <v>1810.4625</v>
      </c>
      <c r="E176" s="100">
        <v>1854.325</v>
      </c>
      <c r="F176" s="100">
        <v>1981.375</v>
      </c>
      <c r="G176" s="101">
        <v>2057</v>
      </c>
      <c r="H176" s="100">
        <v>2097.8375</v>
      </c>
      <c r="I176" s="100">
        <v>2211.275</v>
      </c>
      <c r="J176" s="101">
        <v>2463.8625</v>
      </c>
      <c r="K176" s="100">
        <v>2807.2</v>
      </c>
      <c r="L176" s="100">
        <v>3012.9</v>
      </c>
      <c r="M176" s="100">
        <v>3136.925</v>
      </c>
      <c r="N176" s="15"/>
    </row>
    <row r="177" ht="18.75" customHeight="1" spans="1:14">
      <c r="A177" s="90" t="s">
        <v>23</v>
      </c>
      <c r="B177" s="100">
        <v>4248.6125</v>
      </c>
      <c r="C177" s="100">
        <v>4646.4</v>
      </c>
      <c r="D177" s="101">
        <v>5195.4375</v>
      </c>
      <c r="E177" s="100">
        <v>5617.425</v>
      </c>
      <c r="F177" s="100">
        <v>6177.05</v>
      </c>
      <c r="G177" s="101">
        <v>6913.6375</v>
      </c>
      <c r="H177" s="100">
        <v>7656.275</v>
      </c>
      <c r="I177" s="100">
        <v>7925.5</v>
      </c>
      <c r="J177" s="101">
        <v>8917.7</v>
      </c>
      <c r="K177" s="100">
        <v>11541.8875</v>
      </c>
      <c r="L177" s="100">
        <v>13116.4</v>
      </c>
      <c r="M177" s="100">
        <v>14166.075</v>
      </c>
      <c r="N177" s="15"/>
    </row>
    <row r="178" ht="18.75" customHeight="1" spans="1:14">
      <c r="A178" s="90" t="s">
        <v>24</v>
      </c>
      <c r="B178" s="100">
        <v>3946.1125</v>
      </c>
      <c r="C178" s="100">
        <v>4343.9</v>
      </c>
      <c r="D178" s="101">
        <v>4892.9375</v>
      </c>
      <c r="E178" s="100">
        <v>5314.925</v>
      </c>
      <c r="F178" s="100">
        <v>5874.55</v>
      </c>
      <c r="G178" s="101">
        <v>6611.1375</v>
      </c>
      <c r="H178" s="100">
        <v>7353.775</v>
      </c>
      <c r="I178" s="100">
        <v>7623</v>
      </c>
      <c r="J178" s="101">
        <v>8615.2</v>
      </c>
      <c r="K178" s="100">
        <v>11239.3875</v>
      </c>
      <c r="L178" s="100">
        <v>12813.9</v>
      </c>
      <c r="M178" s="100">
        <v>13863.575</v>
      </c>
      <c r="N178" s="15"/>
    </row>
    <row r="179" ht="18.75" customHeight="1" spans="1:14">
      <c r="A179" s="90" t="s">
        <v>69</v>
      </c>
      <c r="B179" s="100">
        <v>6128.65</v>
      </c>
      <c r="C179" s="100">
        <v>6592.9875</v>
      </c>
      <c r="D179" s="101">
        <v>7139</v>
      </c>
      <c r="E179" s="100">
        <v>7724.3375</v>
      </c>
      <c r="F179" s="100">
        <v>8105.4875</v>
      </c>
      <c r="G179" s="101">
        <v>8736.2</v>
      </c>
      <c r="H179" s="100">
        <v>9111.3</v>
      </c>
      <c r="I179" s="100">
        <v>9958.3</v>
      </c>
      <c r="J179" s="101">
        <v>11169.8125</v>
      </c>
      <c r="K179" s="100">
        <v>12567.3625</v>
      </c>
      <c r="L179" s="100">
        <v>14023.9</v>
      </c>
      <c r="M179" s="100">
        <v>15073.575</v>
      </c>
      <c r="N179" s="15"/>
    </row>
    <row r="180" ht="18.75" customHeight="1" spans="1:14">
      <c r="A180" s="90" t="s">
        <v>27</v>
      </c>
      <c r="B180" s="100">
        <v>8156.9125</v>
      </c>
      <c r="C180" s="100">
        <v>8654.525</v>
      </c>
      <c r="D180" s="101">
        <v>8935.85</v>
      </c>
      <c r="E180" s="100">
        <v>9475.8125</v>
      </c>
      <c r="F180" s="100">
        <v>9906.875</v>
      </c>
      <c r="G180" s="101">
        <v>10955.0375</v>
      </c>
      <c r="H180" s="100">
        <v>11634.15</v>
      </c>
      <c r="I180" s="100">
        <v>13143.625</v>
      </c>
      <c r="J180" s="101">
        <v>15639.25</v>
      </c>
      <c r="K180" s="100">
        <v>18974.3125</v>
      </c>
      <c r="L180" s="100">
        <v>20975.35</v>
      </c>
      <c r="M180" s="100">
        <v>22176.275</v>
      </c>
      <c r="N180" s="15"/>
    </row>
    <row r="181" ht="18.75" customHeight="1" spans="1:14">
      <c r="A181" s="105" t="s">
        <v>70</v>
      </c>
      <c r="B181" s="100">
        <v>15050.8875</v>
      </c>
      <c r="C181" s="100">
        <v>15539.425</v>
      </c>
      <c r="D181" s="101">
        <v>15938.725</v>
      </c>
      <c r="E181" s="100">
        <v>61767.475</v>
      </c>
      <c r="F181" s="100">
        <v>16906.725</v>
      </c>
      <c r="G181" s="101">
        <v>18069.8375</v>
      </c>
      <c r="H181" s="100">
        <v>18696.0125</v>
      </c>
      <c r="I181" s="100">
        <v>20052.725</v>
      </c>
      <c r="J181" s="101">
        <v>22374.4125</v>
      </c>
      <c r="K181" s="100">
        <v>26303.8875</v>
      </c>
      <c r="L181" s="100">
        <v>28661.875</v>
      </c>
      <c r="M181" s="100">
        <v>30076.0625</v>
      </c>
      <c r="N181" s="15"/>
    </row>
    <row r="182" ht="18.75" customHeight="1" spans="1:14">
      <c r="A182" s="90" t="s">
        <v>32</v>
      </c>
      <c r="B182" s="100">
        <v>1759.0375</v>
      </c>
      <c r="C182" s="100">
        <v>1793.825</v>
      </c>
      <c r="D182" s="101">
        <v>1831.6375</v>
      </c>
      <c r="E182" s="100">
        <v>2017.675</v>
      </c>
      <c r="F182" s="100">
        <v>2203.7125</v>
      </c>
      <c r="G182" s="101">
        <v>2305.05</v>
      </c>
      <c r="H182" s="100">
        <v>2495.625</v>
      </c>
      <c r="I182" s="100">
        <v>2575.7875</v>
      </c>
      <c r="J182" s="101">
        <v>2840.475</v>
      </c>
      <c r="K182" s="100">
        <v>3159.6125</v>
      </c>
      <c r="L182" s="100">
        <v>3351.7</v>
      </c>
      <c r="M182" s="100">
        <v>3466.65</v>
      </c>
      <c r="N182" s="15"/>
    </row>
    <row r="183" ht="18.75" customHeight="1" spans="1:14">
      <c r="A183" s="90" t="s">
        <v>81</v>
      </c>
      <c r="B183" s="100">
        <v>4983.6875</v>
      </c>
      <c r="C183" s="100">
        <v>5148.55</v>
      </c>
      <c r="D183" s="101">
        <v>5195.4375</v>
      </c>
      <c r="E183" s="100">
        <v>5392.0625</v>
      </c>
      <c r="F183" s="100">
        <v>5585.6625</v>
      </c>
      <c r="G183" s="101">
        <v>6131.675</v>
      </c>
      <c r="H183" s="100">
        <v>6624.75</v>
      </c>
      <c r="I183" s="100">
        <v>7129.925</v>
      </c>
      <c r="J183" s="101">
        <v>7865</v>
      </c>
      <c r="K183" s="100">
        <v>9876.625</v>
      </c>
      <c r="L183" s="100">
        <v>11083.6</v>
      </c>
      <c r="M183" s="100">
        <v>11808.0875</v>
      </c>
      <c r="N183" s="15"/>
    </row>
    <row r="184" ht="18.75" customHeight="1" spans="1:14">
      <c r="A184" s="90" t="s">
        <v>82</v>
      </c>
      <c r="B184" s="100">
        <v>6072.6875</v>
      </c>
      <c r="C184" s="100">
        <v>6308.6375</v>
      </c>
      <c r="D184" s="101">
        <v>6354.0125</v>
      </c>
      <c r="E184" s="100">
        <v>6630.8</v>
      </c>
      <c r="F184" s="100">
        <v>6904.5625</v>
      </c>
      <c r="G184" s="101">
        <v>7439.9875</v>
      </c>
      <c r="H184" s="100">
        <v>7728.875</v>
      </c>
      <c r="I184" s="100">
        <v>8345.975</v>
      </c>
      <c r="J184" s="101">
        <v>9309.4375</v>
      </c>
      <c r="K184" s="100">
        <v>11413.325</v>
      </c>
      <c r="L184" s="100">
        <v>12676.2625</v>
      </c>
      <c r="M184" s="100">
        <v>13432.5125</v>
      </c>
      <c r="N184" s="15"/>
    </row>
    <row r="185" ht="18.75" customHeight="1" spans="1:14">
      <c r="A185" s="90" t="s">
        <v>39</v>
      </c>
      <c r="B185" s="100">
        <v>4129.125</v>
      </c>
      <c r="C185" s="100">
        <v>4183.575</v>
      </c>
      <c r="D185" s="101">
        <v>4303.0625</v>
      </c>
      <c r="E185" s="100">
        <v>4712.95</v>
      </c>
      <c r="F185" s="100">
        <v>4980.6625</v>
      </c>
      <c r="G185" s="101">
        <v>5399.625</v>
      </c>
      <c r="H185" s="100">
        <v>5476.7625</v>
      </c>
      <c r="I185" s="100">
        <v>5687</v>
      </c>
      <c r="J185" s="101">
        <v>6145.2875</v>
      </c>
      <c r="K185" s="100">
        <v>7185.8875</v>
      </c>
      <c r="L185" s="100">
        <v>7810.55</v>
      </c>
      <c r="M185" s="100">
        <v>8184.1375</v>
      </c>
      <c r="N185" s="15"/>
    </row>
    <row r="186" ht="18.75" customHeight="1" spans="1:14">
      <c r="A186" s="15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5"/>
      <c r="M186" s="15"/>
      <c r="N186" s="15"/>
    </row>
    <row r="187" ht="23.25" customHeight="1" spans="1:14">
      <c r="A187" s="82" t="s">
        <v>35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5"/>
    </row>
    <row r="188" ht="18.75" customHeight="1" spans="1:14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5" t="s">
        <v>52</v>
      </c>
      <c r="N188" s="15"/>
    </row>
    <row r="189" ht="18.75" customHeight="1" spans="1:14">
      <c r="A189" s="15"/>
      <c r="B189" s="94"/>
      <c r="C189" s="94"/>
      <c r="D189" s="94"/>
      <c r="E189" s="94"/>
      <c r="F189" s="94"/>
      <c r="G189" s="94"/>
      <c r="H189" s="94"/>
      <c r="I189" s="94"/>
      <c r="J189" s="94"/>
      <c r="N189" s="15"/>
    </row>
    <row r="190" ht="21" customHeight="1" spans="1:14">
      <c r="A190" s="96" t="s">
        <v>86</v>
      </c>
      <c r="N190" s="15"/>
    </row>
    <row r="191" ht="21" customHeight="1" spans="1:14">
      <c r="A191" s="96" t="s">
        <v>89</v>
      </c>
      <c r="K191" s="15"/>
      <c r="L191" s="15"/>
      <c r="M191" s="15"/>
      <c r="N191" s="15"/>
    </row>
    <row r="192" ht="21" customHeight="1" spans="1:14">
      <c r="A192" s="97" t="s">
        <v>126</v>
      </c>
      <c r="J192" s="91"/>
      <c r="K192" s="91"/>
      <c r="L192" s="91"/>
      <c r="M192" s="91"/>
      <c r="N192" s="15"/>
    </row>
    <row r="193" ht="28.5" customHeight="1" spans="1:14">
      <c r="A193" s="98"/>
      <c r="B193" s="99" t="s">
        <v>56</v>
      </c>
      <c r="C193" s="86" t="s">
        <v>57</v>
      </c>
      <c r="D193" s="86" t="s">
        <v>58</v>
      </c>
      <c r="E193" s="86" t="s">
        <v>59</v>
      </c>
      <c r="F193" s="86" t="s">
        <v>60</v>
      </c>
      <c r="G193" s="86" t="s">
        <v>61</v>
      </c>
      <c r="H193" s="86" t="s">
        <v>62</v>
      </c>
      <c r="I193" s="86" t="s">
        <v>63</v>
      </c>
      <c r="J193" s="86" t="s">
        <v>64</v>
      </c>
      <c r="K193" s="86" t="s">
        <v>65</v>
      </c>
      <c r="L193" s="86" t="s">
        <v>66</v>
      </c>
      <c r="M193" s="86" t="s">
        <v>67</v>
      </c>
      <c r="N193" s="15"/>
    </row>
    <row r="194" ht="18.75" customHeight="1" spans="1:14">
      <c r="A194" s="90" t="s">
        <v>68</v>
      </c>
      <c r="B194" s="100">
        <v>4357.925</v>
      </c>
      <c r="C194" s="100">
        <v>4430.6625</v>
      </c>
      <c r="D194" s="101">
        <v>4748.49375</v>
      </c>
      <c r="E194" s="100">
        <v>5132.7375</v>
      </c>
      <c r="F194" s="100">
        <v>5534.375</v>
      </c>
      <c r="G194" s="101">
        <v>5771.5625</v>
      </c>
      <c r="H194" s="100">
        <v>6053.025</v>
      </c>
      <c r="I194" s="100">
        <v>6641.25</v>
      </c>
      <c r="J194" s="101">
        <v>7273.75</v>
      </c>
      <c r="K194" s="100">
        <v>8855</v>
      </c>
      <c r="L194" s="102">
        <v>9803.75</v>
      </c>
      <c r="M194" s="102">
        <v>10436.25</v>
      </c>
      <c r="N194" s="15"/>
    </row>
    <row r="195" ht="18.75" customHeight="1" spans="1:14">
      <c r="A195" s="90" t="s">
        <v>18</v>
      </c>
      <c r="B195" s="100">
        <v>3572.04375</v>
      </c>
      <c r="C195" s="100">
        <v>3844.01875</v>
      </c>
      <c r="D195" s="101">
        <v>4172.91875</v>
      </c>
      <c r="E195" s="100">
        <v>4463.86875</v>
      </c>
      <c r="F195" s="100">
        <v>4729.51875</v>
      </c>
      <c r="G195" s="101">
        <v>4955.6375</v>
      </c>
      <c r="H195" s="100">
        <v>5238.68125</v>
      </c>
      <c r="I195" s="100">
        <v>5985.03125</v>
      </c>
      <c r="J195" s="101">
        <v>6160.55</v>
      </c>
      <c r="K195" s="100">
        <v>7590</v>
      </c>
      <c r="L195" s="102">
        <v>8254.125</v>
      </c>
      <c r="M195" s="102">
        <v>8734.825</v>
      </c>
      <c r="N195" s="15"/>
    </row>
    <row r="196" ht="18.75" customHeight="1" spans="1:14">
      <c r="A196" s="90" t="s">
        <v>19</v>
      </c>
      <c r="B196" s="100">
        <v>2783</v>
      </c>
      <c r="C196" s="100">
        <v>3017.025</v>
      </c>
      <c r="D196" s="101">
        <v>3289</v>
      </c>
      <c r="E196" s="100">
        <v>3535.675</v>
      </c>
      <c r="F196" s="100">
        <v>3870.9</v>
      </c>
      <c r="G196" s="101">
        <v>4111.25</v>
      </c>
      <c r="H196" s="100">
        <v>4274.11875</v>
      </c>
      <c r="I196" s="100">
        <v>4642.55</v>
      </c>
      <c r="J196" s="101">
        <v>5060</v>
      </c>
      <c r="K196" s="100">
        <v>6166.875</v>
      </c>
      <c r="L196" s="102">
        <v>6831</v>
      </c>
      <c r="M196" s="102">
        <v>7273.75</v>
      </c>
      <c r="N196" s="15"/>
    </row>
    <row r="197" ht="18.75" customHeight="1" spans="1:14">
      <c r="A197" s="90" t="s">
        <v>20</v>
      </c>
      <c r="B197" s="100">
        <v>2310.20625</v>
      </c>
      <c r="C197" s="100">
        <v>2520.5125</v>
      </c>
      <c r="D197" s="101">
        <v>2757.7</v>
      </c>
      <c r="E197" s="100">
        <v>2979.075</v>
      </c>
      <c r="F197" s="100">
        <v>3209.9375</v>
      </c>
      <c r="G197" s="101">
        <v>3320.625</v>
      </c>
      <c r="H197" s="100">
        <v>3491.4</v>
      </c>
      <c r="I197" s="100">
        <v>3739.65625</v>
      </c>
      <c r="J197" s="101">
        <v>4111.25</v>
      </c>
      <c r="K197" s="100">
        <v>4952.475</v>
      </c>
      <c r="L197" s="102">
        <v>5456.89375</v>
      </c>
      <c r="M197" s="102">
        <v>5793.7</v>
      </c>
      <c r="N197" s="15"/>
    </row>
    <row r="198" ht="18.75" customHeight="1" spans="1:14">
      <c r="A198" s="90" t="s">
        <v>21</v>
      </c>
      <c r="B198" s="100">
        <v>2191.6125</v>
      </c>
      <c r="C198" s="100">
        <v>2218.49375</v>
      </c>
      <c r="D198" s="101">
        <v>2313.36875</v>
      </c>
      <c r="E198" s="100">
        <v>2381.3625</v>
      </c>
      <c r="F198" s="100">
        <v>2558.4625</v>
      </c>
      <c r="G198" s="101">
        <v>2683.38125</v>
      </c>
      <c r="H198" s="100">
        <v>2737.14375</v>
      </c>
      <c r="I198" s="100">
        <v>2914.24375</v>
      </c>
      <c r="J198" s="101">
        <v>3300.06875</v>
      </c>
      <c r="K198" s="100">
        <v>3798.1625</v>
      </c>
      <c r="L198" s="102">
        <v>4097.01875</v>
      </c>
      <c r="M198" s="102">
        <v>4296.25625</v>
      </c>
      <c r="N198" s="15"/>
    </row>
    <row r="199" ht="18.75" customHeight="1" spans="1:14">
      <c r="A199" s="90" t="s">
        <v>22</v>
      </c>
      <c r="B199" s="100">
        <v>1671.38125</v>
      </c>
      <c r="C199" s="100">
        <v>1687.19375</v>
      </c>
      <c r="D199" s="101">
        <v>1742.5375</v>
      </c>
      <c r="E199" s="100">
        <v>1783.65</v>
      </c>
      <c r="F199" s="100">
        <v>1886.43125</v>
      </c>
      <c r="G199" s="101">
        <v>1973.4</v>
      </c>
      <c r="H199" s="100">
        <v>2005.025</v>
      </c>
      <c r="I199" s="100">
        <v>2248.5375</v>
      </c>
      <c r="J199" s="101">
        <v>2492.05</v>
      </c>
      <c r="K199" s="100">
        <v>2798.8125</v>
      </c>
      <c r="L199" s="102">
        <v>2982.2375</v>
      </c>
      <c r="M199" s="102">
        <v>3105.575</v>
      </c>
      <c r="N199" s="15"/>
    </row>
    <row r="200" ht="18.75" customHeight="1" spans="1:14">
      <c r="A200" s="90" t="s">
        <v>23</v>
      </c>
      <c r="B200" s="100">
        <v>4930.3375</v>
      </c>
      <c r="C200" s="100">
        <v>5331.975</v>
      </c>
      <c r="D200" s="101">
        <v>5577.06875</v>
      </c>
      <c r="E200" s="100">
        <v>6154.225</v>
      </c>
      <c r="F200" s="100">
        <v>6555.8625</v>
      </c>
      <c r="G200" s="101">
        <v>6970.15</v>
      </c>
      <c r="H200" s="100">
        <v>7365.4625</v>
      </c>
      <c r="I200" s="100">
        <v>8260.45</v>
      </c>
      <c r="J200" s="101">
        <v>9174.4125</v>
      </c>
      <c r="K200" s="100">
        <v>11505.175</v>
      </c>
      <c r="L200" s="102">
        <v>12681.625</v>
      </c>
      <c r="M200" s="102">
        <v>13285.6625</v>
      </c>
      <c r="N200" s="15"/>
    </row>
    <row r="201" ht="18.75" customHeight="1" spans="1:14">
      <c r="A201" s="90" t="s">
        <v>24</v>
      </c>
      <c r="B201" s="100">
        <v>4614.0875</v>
      </c>
      <c r="C201" s="100">
        <v>5015.725</v>
      </c>
      <c r="D201" s="101">
        <v>5260.81875</v>
      </c>
      <c r="E201" s="100">
        <v>5837.975</v>
      </c>
      <c r="F201" s="100">
        <v>6239.6125</v>
      </c>
      <c r="G201" s="101">
        <v>6653.9</v>
      </c>
      <c r="H201" s="100">
        <v>7049.2125</v>
      </c>
      <c r="I201" s="100">
        <v>7944.2</v>
      </c>
      <c r="J201" s="101">
        <v>8858.1625</v>
      </c>
      <c r="K201" s="100">
        <v>11188.925</v>
      </c>
      <c r="L201" s="102">
        <v>12365.375</v>
      </c>
      <c r="M201" s="102">
        <v>12997.875</v>
      </c>
      <c r="N201" s="15"/>
    </row>
    <row r="202" ht="18.75" customHeight="1" spans="1:14">
      <c r="A202" s="90" t="s">
        <v>69</v>
      </c>
      <c r="B202" s="100">
        <v>5913.875</v>
      </c>
      <c r="C202" s="100">
        <v>6312.35</v>
      </c>
      <c r="D202" s="101">
        <v>6826.25625</v>
      </c>
      <c r="E202" s="100">
        <v>7681.7125</v>
      </c>
      <c r="F202" s="100">
        <v>7776.5875</v>
      </c>
      <c r="G202" s="101">
        <v>8301.5625</v>
      </c>
      <c r="H202" s="100">
        <v>8768.03125</v>
      </c>
      <c r="I202" s="100">
        <v>9751.56875</v>
      </c>
      <c r="J202" s="101">
        <v>10591.2125</v>
      </c>
      <c r="K202" s="100">
        <v>13007.3625</v>
      </c>
      <c r="L202" s="102">
        <v>14457.36875</v>
      </c>
      <c r="M202" s="102">
        <v>15423.5125</v>
      </c>
      <c r="N202" s="15"/>
    </row>
    <row r="203" ht="18.75" customHeight="1" spans="1:14">
      <c r="A203" s="90" t="s">
        <v>27</v>
      </c>
      <c r="B203" s="100">
        <v>7994.8</v>
      </c>
      <c r="C203" s="100">
        <v>8402.7625</v>
      </c>
      <c r="D203" s="101">
        <v>8780.68125</v>
      </c>
      <c r="E203" s="100">
        <v>9406.85625</v>
      </c>
      <c r="F203" s="100">
        <v>9898.625</v>
      </c>
      <c r="G203" s="101">
        <v>10978.61875</v>
      </c>
      <c r="H203" s="100">
        <v>12170.88125</v>
      </c>
      <c r="I203" s="100">
        <v>13407.41875</v>
      </c>
      <c r="J203" s="101">
        <v>15374.49375</v>
      </c>
      <c r="K203" s="100">
        <v>18157.49375</v>
      </c>
      <c r="L203" s="102">
        <v>19827.29375</v>
      </c>
      <c r="M203" s="102">
        <v>20829.80625</v>
      </c>
      <c r="N203" s="15"/>
    </row>
    <row r="204" ht="18.75" customHeight="1" spans="1:14">
      <c r="A204" s="105" t="s">
        <v>70</v>
      </c>
      <c r="B204" s="100">
        <v>14463.69375</v>
      </c>
      <c r="C204" s="100">
        <v>14949.1375</v>
      </c>
      <c r="D204" s="101">
        <v>15366.5875</v>
      </c>
      <c r="E204" s="100">
        <v>15829.89375</v>
      </c>
      <c r="F204" s="100">
        <v>16345.38125</v>
      </c>
      <c r="G204" s="101">
        <v>17482.3</v>
      </c>
      <c r="H204" s="100">
        <v>18095.825</v>
      </c>
      <c r="I204" s="100">
        <v>19417.75</v>
      </c>
      <c r="J204" s="101">
        <v>21824.4125</v>
      </c>
      <c r="K204" s="100">
        <v>25962.54375</v>
      </c>
      <c r="L204" s="102">
        <v>28445.10625</v>
      </c>
      <c r="M204" s="102">
        <v>30171.83125</v>
      </c>
      <c r="N204" s="15"/>
    </row>
    <row r="205" ht="18.75" customHeight="1" spans="1:14">
      <c r="A205" s="90" t="s">
        <v>71</v>
      </c>
      <c r="B205" s="100">
        <v>1734.63125</v>
      </c>
      <c r="C205" s="100">
        <v>1771</v>
      </c>
      <c r="D205" s="101">
        <v>1897.5</v>
      </c>
      <c r="E205" s="100">
        <v>2103.0625</v>
      </c>
      <c r="F205" s="100">
        <v>2259.60625</v>
      </c>
      <c r="G205" s="101">
        <v>2397.175</v>
      </c>
      <c r="H205" s="100">
        <v>2602.7375</v>
      </c>
      <c r="I205" s="100">
        <v>2688.125</v>
      </c>
      <c r="J205" s="101">
        <v>3004.375</v>
      </c>
      <c r="K205" s="100">
        <v>3437.6375</v>
      </c>
      <c r="L205" s="102">
        <v>3696.9625</v>
      </c>
      <c r="M205" s="102">
        <v>3853.50625</v>
      </c>
      <c r="N205" s="15"/>
    </row>
    <row r="206" ht="18.75" customHeight="1" spans="1:14">
      <c r="A206" s="90" t="s">
        <v>72</v>
      </c>
      <c r="B206" s="100">
        <v>4857.6</v>
      </c>
      <c r="C206" s="100">
        <v>5007.81875</v>
      </c>
      <c r="D206" s="101">
        <v>5077.39375</v>
      </c>
      <c r="E206" s="100">
        <v>5273.46875</v>
      </c>
      <c r="F206" s="100">
        <v>5448.9875</v>
      </c>
      <c r="G206" s="101">
        <v>5868.01875</v>
      </c>
      <c r="H206" s="100">
        <v>6062.5125</v>
      </c>
      <c r="I206" s="100">
        <v>6489.45</v>
      </c>
      <c r="J206" s="101">
        <v>7280.075</v>
      </c>
      <c r="K206" s="100">
        <v>8782.2625</v>
      </c>
      <c r="L206" s="102">
        <v>9683.575</v>
      </c>
      <c r="M206" s="102">
        <v>10224.3625</v>
      </c>
      <c r="N206" s="15"/>
    </row>
    <row r="207" ht="18.75" customHeight="1" spans="1:14">
      <c r="A207" s="90" t="s">
        <v>73</v>
      </c>
      <c r="B207" s="100">
        <v>1968.65625</v>
      </c>
      <c r="C207" s="100">
        <v>2050.88125</v>
      </c>
      <c r="D207" s="101">
        <v>2196.35625</v>
      </c>
      <c r="E207" s="100">
        <v>2316.53125</v>
      </c>
      <c r="F207" s="100">
        <v>2403.5</v>
      </c>
      <c r="G207" s="101">
        <v>2694.45</v>
      </c>
      <c r="H207" s="100">
        <v>2884.2</v>
      </c>
      <c r="I207" s="100">
        <v>3358.575</v>
      </c>
      <c r="J207" s="101">
        <v>3643.2</v>
      </c>
      <c r="K207" s="100">
        <v>4468.6125</v>
      </c>
      <c r="L207" s="102">
        <v>4963.54375</v>
      </c>
      <c r="M207" s="102">
        <v>5260.81875</v>
      </c>
      <c r="N207" s="15"/>
    </row>
    <row r="208" ht="18.75" customHeight="1" spans="1:14">
      <c r="A208" s="90" t="s">
        <v>74</v>
      </c>
      <c r="B208" s="100">
        <v>2485.725</v>
      </c>
      <c r="C208" s="100">
        <v>2609.0625</v>
      </c>
      <c r="D208" s="101">
        <v>2783</v>
      </c>
      <c r="E208" s="100">
        <v>2875</v>
      </c>
      <c r="F208" s="100">
        <v>3037.58125</v>
      </c>
      <c r="G208" s="101">
        <v>3537.25625</v>
      </c>
      <c r="H208" s="100">
        <v>3774.44375</v>
      </c>
      <c r="I208" s="100">
        <v>4188.73125</v>
      </c>
      <c r="J208" s="101">
        <v>4671.0125</v>
      </c>
      <c r="K208" s="100">
        <v>5607.1125</v>
      </c>
      <c r="L208" s="102">
        <v>6168.45625</v>
      </c>
      <c r="M208" s="102">
        <v>6505.2625</v>
      </c>
      <c r="N208" s="15"/>
    </row>
    <row r="209" ht="18.75" customHeight="1" spans="1:14">
      <c r="A209" s="90" t="s">
        <v>77</v>
      </c>
      <c r="B209" s="100">
        <v>3281.09375</v>
      </c>
      <c r="C209" s="100">
        <v>3368.0625</v>
      </c>
      <c r="D209" s="101">
        <v>3641.61875</v>
      </c>
      <c r="E209" s="100">
        <v>3953.125</v>
      </c>
      <c r="F209" s="100">
        <v>4190.3125</v>
      </c>
      <c r="G209" s="101">
        <v>4742.16875</v>
      </c>
      <c r="H209" s="100">
        <v>5181.75625</v>
      </c>
      <c r="I209" s="100">
        <v>5621.34375</v>
      </c>
      <c r="J209" s="101">
        <v>6147.9</v>
      </c>
      <c r="K209" s="100">
        <v>7463.5</v>
      </c>
      <c r="L209" s="102">
        <v>8252.54375</v>
      </c>
      <c r="M209" s="102">
        <v>8779.1</v>
      </c>
      <c r="N209" s="15"/>
    </row>
    <row r="210" ht="18.75" customHeight="1" spans="1:14">
      <c r="A210" s="107"/>
      <c r="B210" s="108"/>
      <c r="C210" s="108"/>
      <c r="D210" s="109"/>
      <c r="E210" s="108"/>
      <c r="F210" s="108"/>
      <c r="G210" s="109"/>
      <c r="H210" s="108"/>
      <c r="I210" s="108"/>
      <c r="J210" s="109"/>
      <c r="K210" s="108"/>
      <c r="L210" s="110"/>
      <c r="M210" s="110"/>
      <c r="N210" s="15"/>
    </row>
    <row r="211" ht="23.25" customHeight="1" spans="1:14">
      <c r="A211" s="82" t="s">
        <v>35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5"/>
    </row>
    <row r="212" ht="18.75" customHeight="1" spans="1:14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5" t="s">
        <v>52</v>
      </c>
      <c r="N212" s="15"/>
    </row>
    <row r="213" ht="18.75" customHeight="1" spans="1:14">
      <c r="A213" s="15"/>
      <c r="B213" s="94"/>
      <c r="C213" s="94"/>
      <c r="D213" s="94"/>
      <c r="E213" s="94"/>
      <c r="F213" s="94"/>
      <c r="G213" s="94"/>
      <c r="H213" s="94"/>
      <c r="I213" s="94"/>
      <c r="J213" s="94"/>
      <c r="N213" s="15"/>
    </row>
    <row r="214" ht="21" customHeight="1" spans="1:14">
      <c r="A214" s="96" t="s">
        <v>88</v>
      </c>
      <c r="N214" s="15"/>
    </row>
    <row r="215" ht="21" customHeight="1" spans="1:14">
      <c r="A215" s="96" t="s">
        <v>89</v>
      </c>
      <c r="K215" s="15"/>
      <c r="L215" s="15"/>
      <c r="M215" s="15"/>
      <c r="N215" s="15"/>
    </row>
    <row r="216" ht="21" customHeight="1" spans="1:14">
      <c r="A216" s="97" t="s">
        <v>126</v>
      </c>
      <c r="J216" s="91"/>
      <c r="K216" s="91"/>
      <c r="L216" s="91"/>
      <c r="M216" s="91"/>
      <c r="N216" s="15"/>
    </row>
    <row r="217" ht="28.5" customHeight="1" spans="1:14">
      <c r="A217" s="98"/>
      <c r="B217" s="99" t="s">
        <v>56</v>
      </c>
      <c r="C217" s="86" t="s">
        <v>57</v>
      </c>
      <c r="D217" s="86" t="s">
        <v>58</v>
      </c>
      <c r="E217" s="86" t="s">
        <v>59</v>
      </c>
      <c r="F217" s="86" t="s">
        <v>60</v>
      </c>
      <c r="G217" s="86" t="s">
        <v>61</v>
      </c>
      <c r="H217" s="86" t="s">
        <v>62</v>
      </c>
      <c r="I217" s="86" t="s">
        <v>63</v>
      </c>
      <c r="J217" s="86" t="s">
        <v>64</v>
      </c>
      <c r="K217" s="86" t="s">
        <v>65</v>
      </c>
      <c r="L217" s="86" t="s">
        <v>66</v>
      </c>
      <c r="M217" s="86" t="s">
        <v>67</v>
      </c>
      <c r="N217" s="15"/>
    </row>
    <row r="218" ht="18.75" customHeight="1" spans="1:14">
      <c r="A218" s="90" t="s">
        <v>68</v>
      </c>
      <c r="B218" s="100">
        <v>5048.93125</v>
      </c>
      <c r="C218" s="100">
        <v>5494.84375</v>
      </c>
      <c r="D218" s="101">
        <v>5850.625</v>
      </c>
      <c r="E218" s="100">
        <v>6340.8125</v>
      </c>
      <c r="F218" s="100">
        <v>6725.05625</v>
      </c>
      <c r="G218" s="101">
        <v>7019.16875</v>
      </c>
      <c r="H218" s="100">
        <v>7695.94375</v>
      </c>
      <c r="I218" s="100">
        <v>8404.34375</v>
      </c>
      <c r="J218" s="101">
        <v>9036.84375</v>
      </c>
      <c r="K218" s="100">
        <v>11543.125</v>
      </c>
      <c r="L218" s="102">
        <v>12650</v>
      </c>
      <c r="M218" s="102">
        <v>13598.75</v>
      </c>
      <c r="N218" s="15"/>
    </row>
    <row r="219" ht="18.75" customHeight="1" spans="1:14">
      <c r="A219" s="90" t="s">
        <v>18</v>
      </c>
      <c r="B219" s="100">
        <v>4356.34375</v>
      </c>
      <c r="C219" s="100">
        <v>4647.29375</v>
      </c>
      <c r="D219" s="101">
        <v>5060</v>
      </c>
      <c r="E219" s="100">
        <v>5362.01875</v>
      </c>
      <c r="F219" s="100">
        <v>5692.5</v>
      </c>
      <c r="G219" s="101">
        <v>5839.55625</v>
      </c>
      <c r="H219" s="100">
        <v>6625.4375</v>
      </c>
      <c r="I219" s="100">
        <v>7354.39375</v>
      </c>
      <c r="J219" s="101">
        <v>7590</v>
      </c>
      <c r="K219" s="100">
        <v>9803.75</v>
      </c>
      <c r="L219" s="102">
        <v>10752.5</v>
      </c>
      <c r="M219" s="102">
        <v>11622.1875</v>
      </c>
      <c r="N219" s="15"/>
    </row>
    <row r="220" ht="18.75" customHeight="1" spans="1:14">
      <c r="A220" s="90" t="s">
        <v>19</v>
      </c>
      <c r="B220" s="100">
        <v>3554.65</v>
      </c>
      <c r="C220" s="100">
        <v>3801.325</v>
      </c>
      <c r="D220" s="101">
        <v>4111.25</v>
      </c>
      <c r="E220" s="100">
        <v>4381.64375</v>
      </c>
      <c r="F220" s="100">
        <v>4652.0375</v>
      </c>
      <c r="G220" s="101">
        <v>5135.9</v>
      </c>
      <c r="H220" s="100">
        <v>5395.225</v>
      </c>
      <c r="I220" s="100">
        <v>5986.6125</v>
      </c>
      <c r="J220" s="101">
        <v>6325</v>
      </c>
      <c r="K220" s="100">
        <v>8113.39375</v>
      </c>
      <c r="L220" s="102">
        <v>8951.45625</v>
      </c>
      <c r="M220" s="102">
        <v>9509.6375</v>
      </c>
      <c r="N220" s="15"/>
    </row>
    <row r="221" ht="18.75" customHeight="1" spans="1:14">
      <c r="A221" s="90" t="s">
        <v>20</v>
      </c>
      <c r="B221" s="100">
        <v>3244.725</v>
      </c>
      <c r="C221" s="100">
        <v>3320.625</v>
      </c>
      <c r="D221" s="101">
        <v>3508.79375</v>
      </c>
      <c r="E221" s="100">
        <v>3640.0375</v>
      </c>
      <c r="F221" s="100">
        <v>3984.75</v>
      </c>
      <c r="G221" s="101">
        <v>4153.94375</v>
      </c>
      <c r="H221" s="100">
        <v>4275.7</v>
      </c>
      <c r="I221" s="100">
        <v>4606.18125</v>
      </c>
      <c r="J221" s="101">
        <v>5281.375</v>
      </c>
      <c r="K221" s="100">
        <v>6190.59375</v>
      </c>
      <c r="L221" s="102">
        <v>6736.125</v>
      </c>
      <c r="M221" s="102">
        <v>7063.44375</v>
      </c>
      <c r="N221" s="15"/>
    </row>
    <row r="222" ht="18.75" customHeight="1" spans="1:14">
      <c r="A222" s="90" t="s">
        <v>21</v>
      </c>
      <c r="B222" s="100">
        <v>2580.6</v>
      </c>
      <c r="C222" s="100">
        <v>2635.94375</v>
      </c>
      <c r="D222" s="101">
        <v>2770.35</v>
      </c>
      <c r="E222" s="100">
        <v>2863.64375</v>
      </c>
      <c r="F222" s="100">
        <v>3110.31875</v>
      </c>
      <c r="G222" s="101">
        <v>3241.5625</v>
      </c>
      <c r="H222" s="100">
        <v>3328.53125</v>
      </c>
      <c r="I222" s="100">
        <v>3564.1375</v>
      </c>
      <c r="J222" s="101">
        <v>4055.90625</v>
      </c>
      <c r="K222" s="100">
        <v>4716.86875</v>
      </c>
      <c r="L222" s="102">
        <v>5113.7625</v>
      </c>
      <c r="M222" s="102">
        <v>5350.95</v>
      </c>
      <c r="N222" s="15"/>
    </row>
    <row r="223" ht="18.75" customHeight="1" spans="1:14">
      <c r="A223" s="90" t="s">
        <v>22</v>
      </c>
      <c r="B223" s="100">
        <v>1944.9375</v>
      </c>
      <c r="C223" s="100">
        <v>1974.98125</v>
      </c>
      <c r="D223" s="101">
        <v>2050.88125</v>
      </c>
      <c r="E223" s="100">
        <v>2103.0625</v>
      </c>
      <c r="F223" s="100">
        <v>2243.79375</v>
      </c>
      <c r="G223" s="101">
        <v>2335.50625</v>
      </c>
      <c r="H223" s="100">
        <v>2384.525</v>
      </c>
      <c r="I223" s="100">
        <v>2517.35</v>
      </c>
      <c r="J223" s="101">
        <v>2816.20625</v>
      </c>
      <c r="K223" s="100">
        <v>3206.775</v>
      </c>
      <c r="L223" s="102">
        <v>3440.8</v>
      </c>
      <c r="M223" s="102">
        <v>3581.53125</v>
      </c>
      <c r="N223" s="15"/>
    </row>
    <row r="224" ht="18.75" customHeight="1" spans="1:14">
      <c r="A224" s="90" t="s">
        <v>23</v>
      </c>
      <c r="B224" s="100">
        <v>5845.88125</v>
      </c>
      <c r="C224" s="100">
        <v>6236.45</v>
      </c>
      <c r="D224" s="101">
        <v>6857.88125</v>
      </c>
      <c r="E224" s="100">
        <v>7310.11875</v>
      </c>
      <c r="F224" s="100">
        <v>7901.50625</v>
      </c>
      <c r="G224" s="101">
        <v>8692.13125</v>
      </c>
      <c r="H224" s="100">
        <v>9481.175</v>
      </c>
      <c r="I224" s="100">
        <v>9783.19375</v>
      </c>
      <c r="J224" s="101">
        <v>10758.825</v>
      </c>
      <c r="K224" s="100">
        <v>13562.38125</v>
      </c>
      <c r="L224" s="102">
        <v>15244.83125</v>
      </c>
      <c r="M224" s="102">
        <v>16365.9375</v>
      </c>
      <c r="N224" s="15"/>
    </row>
    <row r="225" ht="18.75" customHeight="1" spans="1:14">
      <c r="A225" s="90" t="s">
        <v>24</v>
      </c>
      <c r="B225" s="100">
        <v>5529.63125</v>
      </c>
      <c r="C225" s="100">
        <v>5920.2</v>
      </c>
      <c r="D225" s="101">
        <v>6541.63125</v>
      </c>
      <c r="E225" s="100">
        <v>6993.86875</v>
      </c>
      <c r="F225" s="100">
        <v>7585.25625</v>
      </c>
      <c r="G225" s="101">
        <v>8375.88125</v>
      </c>
      <c r="H225" s="100">
        <v>9164.925</v>
      </c>
      <c r="I225" s="100">
        <v>9466.94375</v>
      </c>
      <c r="J225" s="101">
        <v>10442.575</v>
      </c>
      <c r="K225" s="100">
        <v>13246.13125</v>
      </c>
      <c r="L225" s="102">
        <v>14928.58125</v>
      </c>
      <c r="M225" s="102">
        <v>16049.6875</v>
      </c>
      <c r="N225" s="15"/>
    </row>
    <row r="226" ht="18.75" customHeight="1" spans="1:14">
      <c r="A226" s="90" t="s">
        <v>69</v>
      </c>
      <c r="B226" s="100">
        <v>6924.29375</v>
      </c>
      <c r="C226" s="100">
        <v>7583.675</v>
      </c>
      <c r="D226" s="101">
        <v>8170.31875</v>
      </c>
      <c r="E226" s="100">
        <v>8799.65625</v>
      </c>
      <c r="F226" s="100">
        <v>9157.01875</v>
      </c>
      <c r="G226" s="101">
        <v>9849.60625</v>
      </c>
      <c r="H226" s="100">
        <v>10290.775</v>
      </c>
      <c r="I226" s="100">
        <v>11250.59375</v>
      </c>
      <c r="J226" s="101">
        <v>12480.80625</v>
      </c>
      <c r="K226" s="100">
        <v>15456.71875</v>
      </c>
      <c r="L226" s="102">
        <v>17241.95</v>
      </c>
      <c r="M226" s="102">
        <v>18432.63125</v>
      </c>
      <c r="N226" s="15"/>
    </row>
    <row r="227" ht="18.75" customHeight="1" spans="1:14">
      <c r="A227" s="90" t="s">
        <v>27</v>
      </c>
      <c r="B227" s="100">
        <v>9136.4625</v>
      </c>
      <c r="C227" s="100">
        <v>9596.60625</v>
      </c>
      <c r="D227" s="101">
        <v>9961.875</v>
      </c>
      <c r="E227" s="100">
        <v>10540.6125</v>
      </c>
      <c r="F227" s="100">
        <v>11141.4875</v>
      </c>
      <c r="G227" s="101">
        <v>12061.775</v>
      </c>
      <c r="H227" s="100">
        <v>12836.5875</v>
      </c>
      <c r="I227" s="100">
        <v>14552.24375</v>
      </c>
      <c r="J227" s="101">
        <v>17178.7</v>
      </c>
      <c r="K227" s="100">
        <v>20799.7625</v>
      </c>
      <c r="L227" s="102">
        <v>22972.4</v>
      </c>
      <c r="M227" s="102">
        <v>24275.35</v>
      </c>
      <c r="N227" s="15"/>
    </row>
    <row r="228" ht="18.75" customHeight="1" spans="1:14">
      <c r="A228" s="105" t="s">
        <v>70</v>
      </c>
      <c r="B228" s="100">
        <v>16313.75625</v>
      </c>
      <c r="C228" s="100">
        <v>16868.775</v>
      </c>
      <c r="D228" s="101">
        <v>17332.08125</v>
      </c>
      <c r="E228" s="100">
        <v>17855.475</v>
      </c>
      <c r="F228" s="100">
        <v>18442.11875</v>
      </c>
      <c r="G228" s="101">
        <v>19741.90625</v>
      </c>
      <c r="H228" s="100">
        <v>20450.30625</v>
      </c>
      <c r="I228" s="100">
        <v>21982.5375</v>
      </c>
      <c r="J228" s="101">
        <v>24574.20625</v>
      </c>
      <c r="K228" s="100">
        <v>29079.1875</v>
      </c>
      <c r="L228" s="102">
        <v>31781.54375</v>
      </c>
      <c r="M228" s="102">
        <v>33403.90625</v>
      </c>
      <c r="N228" s="15"/>
    </row>
    <row r="229" ht="18.75" customHeight="1" spans="1:14">
      <c r="A229" s="90" t="s">
        <v>32</v>
      </c>
      <c r="B229" s="100">
        <v>1892.75625</v>
      </c>
      <c r="C229" s="100">
        <v>1929.125</v>
      </c>
      <c r="D229" s="101">
        <v>2055.625</v>
      </c>
      <c r="E229" s="100">
        <v>2261.1875</v>
      </c>
      <c r="F229" s="100">
        <v>2417.73125</v>
      </c>
      <c r="G229" s="101">
        <v>2555.3</v>
      </c>
      <c r="H229" s="100">
        <v>2760.8625</v>
      </c>
      <c r="I229" s="100">
        <v>2846.25</v>
      </c>
      <c r="J229" s="101">
        <v>3162.5</v>
      </c>
      <c r="K229" s="100">
        <v>3595.7625</v>
      </c>
      <c r="L229" s="102">
        <v>3855.0875</v>
      </c>
      <c r="M229" s="102">
        <v>4011.63125</v>
      </c>
      <c r="N229" s="15"/>
    </row>
    <row r="230" ht="18.75" customHeight="1" spans="1:14">
      <c r="A230" s="90" t="s">
        <v>81</v>
      </c>
      <c r="B230" s="100">
        <v>5295.60625</v>
      </c>
      <c r="C230" s="100">
        <v>5520.14375</v>
      </c>
      <c r="D230" s="101">
        <v>5596.04375</v>
      </c>
      <c r="E230" s="100">
        <v>5844.3</v>
      </c>
      <c r="F230" s="100">
        <v>6109.95</v>
      </c>
      <c r="G230" s="101">
        <v>6750.35625</v>
      </c>
      <c r="H230" s="100">
        <v>7205.75625</v>
      </c>
      <c r="I230" s="100">
        <v>7920.48125</v>
      </c>
      <c r="J230" s="101">
        <v>8862.90625</v>
      </c>
      <c r="K230" s="100">
        <v>10896.39375</v>
      </c>
      <c r="L230" s="102">
        <v>12117.11875</v>
      </c>
      <c r="M230" s="102">
        <v>12849.2375</v>
      </c>
      <c r="N230" s="15"/>
    </row>
    <row r="231" ht="18.75" customHeight="1" spans="1:14">
      <c r="A231" s="90" t="s">
        <v>82</v>
      </c>
      <c r="B231" s="100">
        <v>6876.85625</v>
      </c>
      <c r="C231" s="100">
        <v>7101.39375</v>
      </c>
      <c r="D231" s="101">
        <v>7177.29375</v>
      </c>
      <c r="E231" s="100">
        <v>7425.55</v>
      </c>
      <c r="F231" s="100">
        <v>7691.2</v>
      </c>
      <c r="G231" s="101">
        <v>8331.60625</v>
      </c>
      <c r="H231" s="100">
        <v>8787.00625</v>
      </c>
      <c r="I231" s="100">
        <v>9501.73125</v>
      </c>
      <c r="J231" s="101">
        <v>10444.15625</v>
      </c>
      <c r="K231" s="100">
        <v>12477.64375</v>
      </c>
      <c r="L231" s="102">
        <v>13698.36875</v>
      </c>
      <c r="M231" s="102">
        <v>14430.4875</v>
      </c>
      <c r="N231" s="15"/>
    </row>
    <row r="232" ht="18.75" customHeight="1" spans="1:14">
      <c r="A232" s="90" t="s">
        <v>39</v>
      </c>
      <c r="B232" s="100">
        <v>4743.75</v>
      </c>
      <c r="C232" s="100">
        <v>5362.01875</v>
      </c>
      <c r="D232" s="101">
        <v>5437.91875</v>
      </c>
      <c r="E232" s="100">
        <v>5686.175</v>
      </c>
      <c r="F232" s="100">
        <v>5951.825</v>
      </c>
      <c r="G232" s="101">
        <v>6434.10625</v>
      </c>
      <c r="H232" s="100">
        <v>6731.38125</v>
      </c>
      <c r="I232" s="100">
        <v>7287.98125</v>
      </c>
      <c r="J232" s="101">
        <v>8067.5375</v>
      </c>
      <c r="K232" s="100">
        <v>9947.64375</v>
      </c>
      <c r="L232" s="102">
        <v>11075.075</v>
      </c>
      <c r="M232" s="102">
        <v>11751.85</v>
      </c>
      <c r="N232" s="15"/>
    </row>
    <row r="233" ht="18.75" customHeight="1" spans="1:14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 ht="23.25" customHeight="1" spans="1:14">
      <c r="A234" s="82" t="s">
        <v>35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5"/>
    </row>
    <row r="235" ht="18.75" customHeight="1" spans="1:14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5" t="s">
        <v>52</v>
      </c>
      <c r="N235" s="15"/>
    </row>
    <row r="236" ht="18.75" customHeight="1" spans="1:14">
      <c r="A236" s="15"/>
      <c r="B236" s="94"/>
      <c r="C236" s="94"/>
      <c r="D236" s="94"/>
      <c r="E236" s="94"/>
      <c r="F236" s="94"/>
      <c r="G236" s="94"/>
      <c r="H236" s="94"/>
      <c r="I236" s="94"/>
      <c r="J236" s="94"/>
      <c r="N236" s="15"/>
    </row>
    <row r="237" ht="21" customHeight="1" spans="1:14">
      <c r="A237" s="96" t="s">
        <v>86</v>
      </c>
      <c r="N237" s="15"/>
    </row>
    <row r="238" ht="21" customHeight="1" spans="1:14">
      <c r="A238" s="96" t="s">
        <v>90</v>
      </c>
      <c r="K238" s="15"/>
      <c r="L238" s="15"/>
      <c r="M238" s="15"/>
      <c r="N238" s="15"/>
    </row>
    <row r="239" ht="21" customHeight="1" spans="1:14">
      <c r="A239" s="97" t="s">
        <v>126</v>
      </c>
      <c r="J239" s="91"/>
      <c r="K239" s="91"/>
      <c r="L239" s="91"/>
      <c r="M239" s="91"/>
      <c r="N239" s="15"/>
    </row>
    <row r="240" ht="28.5" customHeight="1" spans="1:14">
      <c r="A240" s="98"/>
      <c r="B240" s="99" t="s">
        <v>56</v>
      </c>
      <c r="C240" s="86" t="s">
        <v>57</v>
      </c>
      <c r="D240" s="86" t="s">
        <v>58</v>
      </c>
      <c r="E240" s="86" t="s">
        <v>59</v>
      </c>
      <c r="F240" s="86" t="s">
        <v>60</v>
      </c>
      <c r="G240" s="86" t="s">
        <v>61</v>
      </c>
      <c r="H240" s="86" t="s">
        <v>62</v>
      </c>
      <c r="I240" s="86" t="s">
        <v>63</v>
      </c>
      <c r="J240" s="86" t="s">
        <v>64</v>
      </c>
      <c r="K240" s="86" t="s">
        <v>65</v>
      </c>
      <c r="L240" s="86" t="s">
        <v>66</v>
      </c>
      <c r="M240" s="86" t="s">
        <v>67</v>
      </c>
      <c r="N240" s="15"/>
    </row>
    <row r="241" ht="18.75" customHeight="1" spans="1:14">
      <c r="A241" s="111" t="s">
        <v>68</v>
      </c>
      <c r="B241" s="112">
        <v>5229.19375</v>
      </c>
      <c r="C241" s="112">
        <v>5316.1625</v>
      </c>
      <c r="D241" s="113">
        <v>5698.825</v>
      </c>
      <c r="E241" s="112">
        <v>6158.96875</v>
      </c>
      <c r="F241" s="112">
        <v>6641.25</v>
      </c>
      <c r="G241" s="113">
        <v>6925.875</v>
      </c>
      <c r="H241" s="112">
        <v>7264.2625</v>
      </c>
      <c r="I241" s="112">
        <v>7969.5</v>
      </c>
      <c r="J241" s="113">
        <v>8728.5</v>
      </c>
      <c r="K241" s="112">
        <v>10626</v>
      </c>
      <c r="L241" s="80">
        <v>11764.5</v>
      </c>
      <c r="M241" s="80">
        <v>12523.5</v>
      </c>
      <c r="N241" s="15"/>
    </row>
    <row r="242" ht="18.75" customHeight="1" spans="1:14">
      <c r="A242" s="89" t="s">
        <v>18</v>
      </c>
      <c r="B242" s="112">
        <v>4286.76875</v>
      </c>
      <c r="C242" s="112">
        <v>4612.50625</v>
      </c>
      <c r="D242" s="113">
        <v>5007.81875</v>
      </c>
      <c r="E242" s="112">
        <v>5357.275</v>
      </c>
      <c r="F242" s="112">
        <v>5675.10625</v>
      </c>
      <c r="G242" s="113">
        <v>5947.08125</v>
      </c>
      <c r="H242" s="112">
        <v>6287.05</v>
      </c>
      <c r="I242" s="112">
        <v>7182.0375</v>
      </c>
      <c r="J242" s="113">
        <v>7392.34375</v>
      </c>
      <c r="K242" s="112">
        <v>9108</v>
      </c>
      <c r="L242" s="80">
        <v>9904.95</v>
      </c>
      <c r="M242" s="80">
        <v>10482.10625</v>
      </c>
      <c r="N242" s="15"/>
    </row>
    <row r="243" ht="18.75" customHeight="1" spans="1:14">
      <c r="A243" s="89" t="s">
        <v>19</v>
      </c>
      <c r="B243" s="112">
        <v>3339.6</v>
      </c>
      <c r="C243" s="112">
        <v>3621.0625</v>
      </c>
      <c r="D243" s="113">
        <v>3946.8</v>
      </c>
      <c r="E243" s="112">
        <v>4242.49375</v>
      </c>
      <c r="F243" s="112">
        <v>4645.7125</v>
      </c>
      <c r="G243" s="113">
        <v>4933.5</v>
      </c>
      <c r="H243" s="112">
        <v>5129.575</v>
      </c>
      <c r="I243" s="112">
        <v>5570.74375</v>
      </c>
      <c r="J243" s="113">
        <v>6072</v>
      </c>
      <c r="K243" s="112">
        <v>7400.25</v>
      </c>
      <c r="L243" s="80">
        <v>8197.2</v>
      </c>
      <c r="M243" s="80">
        <v>8728.5</v>
      </c>
      <c r="N243" s="15"/>
    </row>
    <row r="244" ht="18.75" customHeight="1" spans="1:14">
      <c r="A244" s="89" t="s">
        <v>20</v>
      </c>
      <c r="B244" s="112">
        <v>2771.93125</v>
      </c>
      <c r="C244" s="112">
        <v>3024.93125</v>
      </c>
      <c r="D244" s="113">
        <v>3309.55625</v>
      </c>
      <c r="E244" s="112">
        <v>3575.20625</v>
      </c>
      <c r="F244" s="112">
        <v>3851.925</v>
      </c>
      <c r="G244" s="113">
        <v>3984.75</v>
      </c>
      <c r="H244" s="112">
        <v>4190.3125</v>
      </c>
      <c r="I244" s="112">
        <v>4487.5875</v>
      </c>
      <c r="J244" s="113">
        <v>4933.5</v>
      </c>
      <c r="K244" s="112">
        <v>5942.3375</v>
      </c>
      <c r="L244" s="80">
        <v>6547.95625</v>
      </c>
      <c r="M244" s="80">
        <v>6952.75625</v>
      </c>
      <c r="N244" s="15"/>
    </row>
    <row r="245" ht="18.75" customHeight="1" spans="1:14">
      <c r="A245" s="89" t="s">
        <v>21</v>
      </c>
      <c r="B245" s="112">
        <v>2629.61875</v>
      </c>
      <c r="C245" s="112">
        <v>2662.825</v>
      </c>
      <c r="D245" s="113">
        <v>2776.675</v>
      </c>
      <c r="E245" s="112">
        <v>2857.31875</v>
      </c>
      <c r="F245" s="112">
        <v>3070.7875</v>
      </c>
      <c r="G245" s="113">
        <v>3219.425</v>
      </c>
      <c r="H245" s="112">
        <v>3284.25625</v>
      </c>
      <c r="I245" s="112">
        <v>3497.725</v>
      </c>
      <c r="J245" s="113">
        <v>3959.45</v>
      </c>
      <c r="K245" s="112">
        <v>4557.1625</v>
      </c>
      <c r="L245" s="80">
        <v>4916.10625</v>
      </c>
      <c r="M245" s="80">
        <v>5154.875</v>
      </c>
      <c r="N245" s="15"/>
    </row>
    <row r="246" ht="18.75" customHeight="1" spans="1:14">
      <c r="A246" s="89" t="s">
        <v>22</v>
      </c>
      <c r="B246" s="112">
        <v>2005.025</v>
      </c>
      <c r="C246" s="112">
        <v>2024</v>
      </c>
      <c r="D246" s="113">
        <v>2090.4125</v>
      </c>
      <c r="E246" s="112">
        <v>2141.0125</v>
      </c>
      <c r="F246" s="112">
        <v>2264.35</v>
      </c>
      <c r="G246" s="113">
        <v>2368.7125</v>
      </c>
      <c r="H246" s="112">
        <v>2406.6625</v>
      </c>
      <c r="I246" s="112">
        <v>2697.6125</v>
      </c>
      <c r="J246" s="113">
        <v>2990.14375</v>
      </c>
      <c r="K246" s="112">
        <v>3358.575</v>
      </c>
      <c r="L246" s="80">
        <v>3579.95</v>
      </c>
      <c r="M246" s="80">
        <v>3727.00625</v>
      </c>
      <c r="N246" s="15"/>
    </row>
    <row r="247" ht="18.75" customHeight="1" spans="1:14">
      <c r="A247" s="89" t="s">
        <v>23</v>
      </c>
      <c r="B247" s="80">
        <v>5917.0375</v>
      </c>
      <c r="C247" s="80">
        <v>6397.7375</v>
      </c>
      <c r="D247" s="114">
        <v>6691.85</v>
      </c>
      <c r="E247" s="80">
        <v>7384.4375</v>
      </c>
      <c r="F247" s="80">
        <v>7866.71875</v>
      </c>
      <c r="G247" s="114">
        <v>8364.8125</v>
      </c>
      <c r="H247" s="80">
        <v>8839.1875</v>
      </c>
      <c r="I247" s="80">
        <v>9912.85625</v>
      </c>
      <c r="J247" s="114">
        <v>11008.6625</v>
      </c>
      <c r="K247" s="80">
        <v>13805.89375</v>
      </c>
      <c r="L247" s="80">
        <v>15217.95</v>
      </c>
      <c r="M247" s="80">
        <v>15942.1625</v>
      </c>
      <c r="N247" s="15"/>
    </row>
    <row r="248" ht="18.75" customHeight="1" spans="1:14">
      <c r="A248" s="89" t="s">
        <v>24</v>
      </c>
      <c r="B248" s="80">
        <v>5537.5375</v>
      </c>
      <c r="C248" s="80">
        <v>6018.2375</v>
      </c>
      <c r="D248" s="114">
        <v>6312.35</v>
      </c>
      <c r="E248" s="80">
        <v>7004.9375</v>
      </c>
      <c r="F248" s="80">
        <v>7487.21875</v>
      </c>
      <c r="G248" s="114">
        <v>7985.3125</v>
      </c>
      <c r="H248" s="80">
        <v>8459.6875</v>
      </c>
      <c r="I248" s="80">
        <v>9533.35625</v>
      </c>
      <c r="J248" s="114">
        <v>10629.1625</v>
      </c>
      <c r="K248" s="80">
        <v>13426.39375</v>
      </c>
      <c r="L248" s="80">
        <v>14838.45</v>
      </c>
      <c r="M248" s="80">
        <v>15562.6625</v>
      </c>
      <c r="N248" s="15"/>
    </row>
    <row r="249" ht="18.75" customHeight="1" spans="1:14">
      <c r="A249" s="89" t="s">
        <v>69</v>
      </c>
      <c r="B249" s="112">
        <v>7096.65</v>
      </c>
      <c r="C249" s="112">
        <v>7574.1875</v>
      </c>
      <c r="D249" s="113">
        <v>8190.875</v>
      </c>
      <c r="E249" s="112">
        <v>9218.6875</v>
      </c>
      <c r="F249" s="112">
        <v>9332.5375</v>
      </c>
      <c r="G249" s="113">
        <v>9961.875</v>
      </c>
      <c r="H249" s="112">
        <v>10521.6375</v>
      </c>
      <c r="I249" s="112">
        <v>11701.25</v>
      </c>
      <c r="J249" s="113">
        <v>12710.0875</v>
      </c>
      <c r="K249" s="112">
        <v>15608.51875</v>
      </c>
      <c r="L249" s="80">
        <v>17347.89375</v>
      </c>
      <c r="M249" s="80">
        <v>18508.53125</v>
      </c>
      <c r="N249" s="15"/>
    </row>
    <row r="250" ht="18.75" customHeight="1" spans="1:14">
      <c r="A250" s="89" t="s">
        <v>27</v>
      </c>
      <c r="B250" s="112">
        <v>9593.44375</v>
      </c>
      <c r="C250" s="112">
        <v>10083.63125</v>
      </c>
      <c r="D250" s="113">
        <v>10537.45</v>
      </c>
      <c r="E250" s="112">
        <v>11288.54375</v>
      </c>
      <c r="F250" s="112">
        <v>11878.35</v>
      </c>
      <c r="G250" s="113">
        <v>13174.975</v>
      </c>
      <c r="H250" s="112">
        <v>14604.425</v>
      </c>
      <c r="I250" s="112">
        <v>16089.21875</v>
      </c>
      <c r="J250" s="113">
        <v>18450.025</v>
      </c>
      <c r="K250" s="112">
        <v>21789.625</v>
      </c>
      <c r="L250" s="80">
        <v>23793.06875</v>
      </c>
      <c r="M250" s="80">
        <v>24996.4</v>
      </c>
      <c r="N250" s="15"/>
    </row>
    <row r="251" ht="18.75" customHeight="1" spans="1:14">
      <c r="A251" s="115" t="s">
        <v>70</v>
      </c>
      <c r="B251" s="80">
        <v>17355.8</v>
      </c>
      <c r="C251" s="80">
        <v>17939.28125</v>
      </c>
      <c r="D251" s="114">
        <v>18440.5375</v>
      </c>
      <c r="E251" s="80">
        <v>18995.55625</v>
      </c>
      <c r="F251" s="80">
        <v>19613.825</v>
      </c>
      <c r="G251" s="114">
        <v>20978.44375</v>
      </c>
      <c r="H251" s="80">
        <v>21715.30625</v>
      </c>
      <c r="I251" s="80">
        <v>23301.3</v>
      </c>
      <c r="J251" s="114">
        <v>26188.6625</v>
      </c>
      <c r="K251" s="80">
        <v>31155.36875</v>
      </c>
      <c r="L251" s="80">
        <v>34134.44375</v>
      </c>
      <c r="M251" s="80">
        <v>36205.88125</v>
      </c>
      <c r="N251" s="15"/>
    </row>
    <row r="252" ht="18.75" customHeight="1" spans="1:14">
      <c r="A252" s="111" t="s">
        <v>32</v>
      </c>
      <c r="B252" s="112">
        <v>2080.925</v>
      </c>
      <c r="C252" s="112">
        <v>2125.2</v>
      </c>
      <c r="D252" s="113">
        <v>2277</v>
      </c>
      <c r="E252" s="112">
        <v>2523.675</v>
      </c>
      <c r="F252" s="112">
        <v>2711.84375</v>
      </c>
      <c r="G252" s="113">
        <v>2876.29375</v>
      </c>
      <c r="H252" s="112">
        <v>3122.96875</v>
      </c>
      <c r="I252" s="112">
        <v>3225.75</v>
      </c>
      <c r="J252" s="113">
        <v>3605.25</v>
      </c>
      <c r="K252" s="112">
        <v>4125.48125</v>
      </c>
      <c r="L252" s="80">
        <v>4436.9875</v>
      </c>
      <c r="M252" s="80">
        <v>4623.575</v>
      </c>
      <c r="N252" s="15"/>
    </row>
    <row r="253" ht="18.75" customHeight="1" spans="1:14">
      <c r="A253" s="111" t="s">
        <v>72</v>
      </c>
      <c r="B253" s="112">
        <v>5828.4875</v>
      </c>
      <c r="C253" s="112">
        <v>6008.75</v>
      </c>
      <c r="D253" s="113">
        <v>6092.55625</v>
      </c>
      <c r="E253" s="112">
        <v>6328.1625</v>
      </c>
      <c r="F253" s="112">
        <v>6538.46875</v>
      </c>
      <c r="G253" s="113">
        <v>7041.30625</v>
      </c>
      <c r="H253" s="112">
        <v>7275.33125</v>
      </c>
      <c r="I253" s="112">
        <v>7787.65625</v>
      </c>
      <c r="J253" s="113">
        <v>8736.40625</v>
      </c>
      <c r="K253" s="112">
        <v>10539.03125</v>
      </c>
      <c r="L253" s="80">
        <v>11620.60625</v>
      </c>
      <c r="M253" s="80">
        <v>12268.91875</v>
      </c>
      <c r="N253" s="15"/>
    </row>
    <row r="254" ht="18.75" customHeight="1" spans="1:14">
      <c r="A254" s="111" t="s">
        <v>73</v>
      </c>
      <c r="B254" s="80">
        <v>2362.3875</v>
      </c>
      <c r="C254" s="80">
        <v>2460.425</v>
      </c>
      <c r="D254" s="114">
        <v>2635.94375</v>
      </c>
      <c r="E254" s="80">
        <v>2779.8375</v>
      </c>
      <c r="F254" s="80">
        <v>2884.2</v>
      </c>
      <c r="G254" s="114">
        <v>3233.65625</v>
      </c>
      <c r="H254" s="80">
        <v>3461.35625</v>
      </c>
      <c r="I254" s="80">
        <v>4030.60625</v>
      </c>
      <c r="J254" s="114">
        <v>4372.15625</v>
      </c>
      <c r="K254" s="80">
        <v>5362.01875</v>
      </c>
      <c r="L254" s="80">
        <v>5956.56875</v>
      </c>
      <c r="M254" s="80">
        <v>6312.35</v>
      </c>
      <c r="N254" s="15"/>
    </row>
    <row r="255" ht="18.75" customHeight="1" spans="1:14">
      <c r="A255" s="111" t="s">
        <v>74</v>
      </c>
      <c r="B255" s="80">
        <v>2982.2375</v>
      </c>
      <c r="C255" s="80">
        <v>3130.875</v>
      </c>
      <c r="D255" s="114">
        <v>3339.6</v>
      </c>
      <c r="E255" s="80">
        <v>3459.775</v>
      </c>
      <c r="F255" s="80">
        <v>3644.78125</v>
      </c>
      <c r="G255" s="114">
        <v>4244.075</v>
      </c>
      <c r="H255" s="80">
        <v>4528.7</v>
      </c>
      <c r="I255" s="80">
        <v>5026.79375</v>
      </c>
      <c r="J255" s="114">
        <v>5605.53125</v>
      </c>
      <c r="K255" s="80">
        <v>6728.21875</v>
      </c>
      <c r="L255" s="80">
        <v>7401.83125</v>
      </c>
      <c r="M255" s="80">
        <v>7806.63125</v>
      </c>
      <c r="N255" s="15"/>
    </row>
    <row r="256" ht="18.75" customHeight="1" spans="1:14">
      <c r="A256" s="111" t="s">
        <v>77</v>
      </c>
      <c r="B256" s="80">
        <v>3937.3125</v>
      </c>
      <c r="C256" s="80">
        <v>4041.675</v>
      </c>
      <c r="D256" s="114">
        <v>4370.575</v>
      </c>
      <c r="E256" s="80">
        <v>4743.75</v>
      </c>
      <c r="F256" s="80">
        <v>5028.375</v>
      </c>
      <c r="G256" s="114">
        <v>5395.225</v>
      </c>
      <c r="H256" s="80">
        <v>5774.725</v>
      </c>
      <c r="I256" s="80">
        <v>6355.04375</v>
      </c>
      <c r="J256" s="114">
        <v>7001.775</v>
      </c>
      <c r="K256" s="80">
        <v>7495.125</v>
      </c>
      <c r="L256" s="80">
        <v>7563.11875</v>
      </c>
      <c r="M256" s="80">
        <v>7608.975</v>
      </c>
      <c r="N256" s="15"/>
    </row>
    <row r="257" ht="18.75" customHeight="1" spans="1:14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 ht="23.25" customHeight="1" spans="1:14">
      <c r="A258" s="82" t="s">
        <v>35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5"/>
    </row>
    <row r="259" ht="18.75" customHeight="1" spans="1:14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5" t="s">
        <v>52</v>
      </c>
      <c r="N259" s="15"/>
    </row>
    <row r="260" ht="18.75" customHeight="1" spans="1:14">
      <c r="A260" s="15"/>
      <c r="B260" s="94"/>
      <c r="C260" s="94"/>
      <c r="D260" s="94"/>
      <c r="E260" s="94"/>
      <c r="F260" s="94"/>
      <c r="G260" s="94"/>
      <c r="H260" s="94"/>
      <c r="I260" s="94"/>
      <c r="J260" s="94"/>
      <c r="N260" s="15"/>
    </row>
    <row r="261" ht="21" customHeight="1" spans="1:14">
      <c r="A261" s="96" t="s">
        <v>88</v>
      </c>
      <c r="N261" s="15"/>
    </row>
    <row r="262" ht="21" customHeight="1" spans="1:14">
      <c r="A262" s="96" t="s">
        <v>90</v>
      </c>
      <c r="K262" s="15"/>
      <c r="L262" s="15"/>
      <c r="M262" s="15"/>
      <c r="N262" s="15"/>
    </row>
    <row r="263" ht="21" customHeight="1" spans="1:14">
      <c r="A263" s="97" t="s">
        <v>126</v>
      </c>
      <c r="J263" s="91"/>
      <c r="K263" s="91"/>
      <c r="L263" s="91"/>
      <c r="M263" s="91"/>
      <c r="N263" s="15"/>
    </row>
    <row r="264" ht="28.5" customHeight="1" spans="1:14">
      <c r="A264" s="98"/>
      <c r="B264" s="99" t="s">
        <v>56</v>
      </c>
      <c r="C264" s="86" t="s">
        <v>57</v>
      </c>
      <c r="D264" s="86" t="s">
        <v>58</v>
      </c>
      <c r="E264" s="86" t="s">
        <v>59</v>
      </c>
      <c r="F264" s="86" t="s">
        <v>60</v>
      </c>
      <c r="G264" s="86" t="s">
        <v>61</v>
      </c>
      <c r="H264" s="86" t="s">
        <v>62</v>
      </c>
      <c r="I264" s="86" t="s">
        <v>63</v>
      </c>
      <c r="J264" s="86" t="s">
        <v>64</v>
      </c>
      <c r="K264" s="86" t="s">
        <v>65</v>
      </c>
      <c r="L264" s="86" t="s">
        <v>66</v>
      </c>
      <c r="M264" s="86" t="s">
        <v>67</v>
      </c>
      <c r="N264" s="15"/>
    </row>
    <row r="265" ht="18.75" customHeight="1" spans="1:14">
      <c r="A265" s="111" t="s">
        <v>68</v>
      </c>
      <c r="B265" s="112">
        <v>6059.35</v>
      </c>
      <c r="C265" s="112">
        <v>6593.8125</v>
      </c>
      <c r="D265" s="113">
        <v>7020.75</v>
      </c>
      <c r="E265" s="112">
        <v>7608.975</v>
      </c>
      <c r="F265" s="112">
        <v>8070.7</v>
      </c>
      <c r="G265" s="113">
        <v>8423.31875</v>
      </c>
      <c r="H265" s="112">
        <v>9234.5</v>
      </c>
      <c r="I265" s="112">
        <v>10085.2125</v>
      </c>
      <c r="J265" s="113">
        <v>10844.2125</v>
      </c>
      <c r="K265" s="112">
        <v>13851.75</v>
      </c>
      <c r="L265" s="80">
        <v>15180</v>
      </c>
      <c r="M265" s="80">
        <v>16318.5</v>
      </c>
      <c r="N265" s="15"/>
    </row>
    <row r="266" ht="18.75" customHeight="1" spans="1:14">
      <c r="A266" s="89" t="s">
        <v>18</v>
      </c>
      <c r="B266" s="112">
        <v>5227.6125</v>
      </c>
      <c r="C266" s="112">
        <v>5577.06875</v>
      </c>
      <c r="D266" s="113">
        <v>6072</v>
      </c>
      <c r="E266" s="112">
        <v>6434.10625</v>
      </c>
      <c r="F266" s="112">
        <v>6831</v>
      </c>
      <c r="G266" s="113">
        <v>7008.1</v>
      </c>
      <c r="H266" s="112">
        <v>7950.525</v>
      </c>
      <c r="I266" s="112">
        <v>8824.95625</v>
      </c>
      <c r="J266" s="113">
        <v>9108</v>
      </c>
      <c r="K266" s="112">
        <v>11764.5</v>
      </c>
      <c r="L266" s="80">
        <v>12903</v>
      </c>
      <c r="M266" s="80">
        <v>13946.625</v>
      </c>
      <c r="N266" s="15"/>
    </row>
    <row r="267" ht="18.75" customHeight="1" spans="1:14">
      <c r="A267" s="89" t="s">
        <v>19</v>
      </c>
      <c r="B267" s="112">
        <v>4266.2125</v>
      </c>
      <c r="C267" s="112">
        <v>4561.90625</v>
      </c>
      <c r="D267" s="113">
        <v>4933.5</v>
      </c>
      <c r="E267" s="112">
        <v>5257.65625</v>
      </c>
      <c r="F267" s="112">
        <v>5581.8125</v>
      </c>
      <c r="G267" s="113">
        <v>6163.7125</v>
      </c>
      <c r="H267" s="112">
        <v>6473.6375</v>
      </c>
      <c r="I267" s="112">
        <v>7183.61875</v>
      </c>
      <c r="J267" s="113">
        <v>7590</v>
      </c>
      <c r="K267" s="112">
        <v>9735.75625</v>
      </c>
      <c r="L267" s="80">
        <v>10741.43125</v>
      </c>
      <c r="M267" s="80">
        <v>11411.88125</v>
      </c>
      <c r="N267" s="15"/>
    </row>
    <row r="268" ht="18.75" customHeight="1" spans="1:14">
      <c r="A268" s="89" t="s">
        <v>20</v>
      </c>
      <c r="B268" s="112">
        <v>3893.0375</v>
      </c>
      <c r="C268" s="112">
        <v>3984.75</v>
      </c>
      <c r="D268" s="113">
        <v>4210.86875</v>
      </c>
      <c r="E268" s="112">
        <v>4367.4125</v>
      </c>
      <c r="F268" s="112">
        <v>4781.7</v>
      </c>
      <c r="G268" s="113">
        <v>4984.1</v>
      </c>
      <c r="H268" s="112">
        <v>5131.15625</v>
      </c>
      <c r="I268" s="112">
        <v>5528.05</v>
      </c>
      <c r="J268" s="113">
        <v>6337.65</v>
      </c>
      <c r="K268" s="112">
        <v>7428.7125</v>
      </c>
      <c r="L268" s="80">
        <v>8083.35</v>
      </c>
      <c r="M268" s="80">
        <v>8475.5</v>
      </c>
      <c r="N268" s="15"/>
    </row>
    <row r="269" ht="18.75" customHeight="1" spans="1:14">
      <c r="A269" s="89" t="s">
        <v>21</v>
      </c>
      <c r="B269" s="112">
        <v>3096.0875</v>
      </c>
      <c r="C269" s="112">
        <v>3162.5</v>
      </c>
      <c r="D269" s="113">
        <v>3323.7875</v>
      </c>
      <c r="E269" s="112">
        <v>3436.05625</v>
      </c>
      <c r="F269" s="112">
        <v>3731.75</v>
      </c>
      <c r="G269" s="113">
        <v>3889.875</v>
      </c>
      <c r="H269" s="112">
        <v>3994.2375</v>
      </c>
      <c r="I269" s="112">
        <v>4277.28125</v>
      </c>
      <c r="J269" s="113">
        <v>4867.0875</v>
      </c>
      <c r="K269" s="112">
        <v>5660.875</v>
      </c>
      <c r="L269" s="80">
        <v>6136.83125</v>
      </c>
      <c r="M269" s="80">
        <v>6421.45625</v>
      </c>
      <c r="N269" s="15"/>
    </row>
    <row r="270" ht="18.75" customHeight="1" spans="1:14">
      <c r="A270" s="89" t="s">
        <v>22</v>
      </c>
      <c r="B270" s="112">
        <v>2333.925</v>
      </c>
      <c r="C270" s="112">
        <v>2370.29375</v>
      </c>
      <c r="D270" s="113">
        <v>2460.425</v>
      </c>
      <c r="E270" s="112">
        <v>2523.675</v>
      </c>
      <c r="F270" s="112">
        <v>2692.86875</v>
      </c>
      <c r="G270" s="113">
        <v>2801.975</v>
      </c>
      <c r="H270" s="112">
        <v>2862.0625</v>
      </c>
      <c r="I270" s="112">
        <v>3020.1875</v>
      </c>
      <c r="J270" s="113">
        <v>3379.13125</v>
      </c>
      <c r="K270" s="112">
        <v>3848.7625</v>
      </c>
      <c r="L270" s="80">
        <v>4128.64375</v>
      </c>
      <c r="M270" s="80">
        <v>4297.8375</v>
      </c>
      <c r="N270" s="15"/>
    </row>
    <row r="271" ht="18.75" customHeight="1" spans="1:14">
      <c r="A271" s="89" t="s">
        <v>23</v>
      </c>
      <c r="B271" s="112">
        <v>7014.425</v>
      </c>
      <c r="C271" s="112">
        <v>7484.05625</v>
      </c>
      <c r="D271" s="113">
        <v>8228.825</v>
      </c>
      <c r="E271" s="112">
        <v>8772.775</v>
      </c>
      <c r="F271" s="112">
        <v>9481.175</v>
      </c>
      <c r="G271" s="113">
        <v>10429.925</v>
      </c>
      <c r="H271" s="112">
        <v>11377.09375</v>
      </c>
      <c r="I271" s="112">
        <v>11739.2</v>
      </c>
      <c r="J271" s="113">
        <v>12910.90625</v>
      </c>
      <c r="K271" s="112">
        <v>16274.225</v>
      </c>
      <c r="L271" s="80">
        <v>18293.48125</v>
      </c>
      <c r="M271" s="80">
        <v>19639.125</v>
      </c>
      <c r="N271" s="15"/>
    </row>
    <row r="272" ht="18.75" customHeight="1" spans="1:14">
      <c r="A272" s="89" t="s">
        <v>24</v>
      </c>
      <c r="B272" s="112">
        <v>6634.925</v>
      </c>
      <c r="C272" s="112">
        <v>7104.55625</v>
      </c>
      <c r="D272" s="113">
        <v>7849.325</v>
      </c>
      <c r="E272" s="112">
        <v>8393.275</v>
      </c>
      <c r="F272" s="112">
        <v>9101.675</v>
      </c>
      <c r="G272" s="113">
        <v>10050.425</v>
      </c>
      <c r="H272" s="112">
        <v>10997.59375</v>
      </c>
      <c r="I272" s="112">
        <v>11359.7</v>
      </c>
      <c r="J272" s="113">
        <v>12531.40625</v>
      </c>
      <c r="K272" s="112">
        <v>15894.725</v>
      </c>
      <c r="L272" s="80">
        <v>17913.98125</v>
      </c>
      <c r="M272" s="80">
        <v>19259.625</v>
      </c>
      <c r="N272" s="15"/>
    </row>
    <row r="273" ht="18.75" customHeight="1" spans="1:14">
      <c r="A273" s="89" t="s">
        <v>69</v>
      </c>
      <c r="B273" s="112">
        <v>8309.46875</v>
      </c>
      <c r="C273" s="112">
        <v>9100.09375</v>
      </c>
      <c r="D273" s="113">
        <v>9803.75</v>
      </c>
      <c r="E273" s="112">
        <v>10559.5875</v>
      </c>
      <c r="F273" s="112">
        <v>10988.10625</v>
      </c>
      <c r="G273" s="113">
        <v>11819.84375</v>
      </c>
      <c r="H273" s="112">
        <v>12349.5625</v>
      </c>
      <c r="I273" s="112">
        <v>13500.7125</v>
      </c>
      <c r="J273" s="113">
        <v>14977.6</v>
      </c>
      <c r="K273" s="112">
        <v>18548.0625</v>
      </c>
      <c r="L273" s="80">
        <v>20690.65625</v>
      </c>
      <c r="M273" s="80">
        <v>22118.525</v>
      </c>
      <c r="N273" s="15"/>
    </row>
    <row r="274" ht="18.75" customHeight="1" spans="1:14">
      <c r="A274" s="89" t="s">
        <v>27</v>
      </c>
      <c r="B274" s="112">
        <v>10964.3875</v>
      </c>
      <c r="C274" s="112">
        <v>11516.24375</v>
      </c>
      <c r="D274" s="113">
        <v>11954.25</v>
      </c>
      <c r="E274" s="112">
        <v>12648.41875</v>
      </c>
      <c r="F274" s="112">
        <v>13369.46875</v>
      </c>
      <c r="G274" s="113">
        <v>14474.7625</v>
      </c>
      <c r="H274" s="112">
        <v>15404.5375</v>
      </c>
      <c r="I274" s="112">
        <v>17463.325</v>
      </c>
      <c r="J274" s="113">
        <v>20614.75625</v>
      </c>
      <c r="K274" s="112">
        <v>24960.03125</v>
      </c>
      <c r="L274" s="80">
        <v>27567.5125</v>
      </c>
      <c r="M274" s="80">
        <v>29131.36875</v>
      </c>
      <c r="N274" s="15"/>
    </row>
    <row r="275" ht="18.75" customHeight="1" spans="1:14">
      <c r="A275" s="115" t="s">
        <v>70</v>
      </c>
      <c r="B275" s="112">
        <v>19575.875</v>
      </c>
      <c r="C275" s="112">
        <v>20243.1625</v>
      </c>
      <c r="D275" s="113">
        <v>20798.18125</v>
      </c>
      <c r="E275" s="112">
        <v>21425.9375</v>
      </c>
      <c r="F275" s="112">
        <v>22131.175</v>
      </c>
      <c r="G275" s="113">
        <v>23690.2875</v>
      </c>
      <c r="H275" s="112">
        <v>24541</v>
      </c>
      <c r="I275" s="112">
        <v>26378.4125</v>
      </c>
      <c r="J275" s="113">
        <v>29488.73125</v>
      </c>
      <c r="K275" s="112">
        <v>34895.025</v>
      </c>
      <c r="L275" s="80">
        <v>38138.16875</v>
      </c>
      <c r="M275" s="80">
        <v>40084.6875</v>
      </c>
      <c r="N275" s="15"/>
    </row>
    <row r="276" ht="18.75" customHeight="1" spans="1:14">
      <c r="A276" s="111" t="s">
        <v>32</v>
      </c>
      <c r="B276" s="112">
        <v>2270.675</v>
      </c>
      <c r="C276" s="112">
        <v>2314.95</v>
      </c>
      <c r="D276" s="113">
        <v>2466.75</v>
      </c>
      <c r="E276" s="112">
        <v>2713.425</v>
      </c>
      <c r="F276" s="112">
        <v>2901.59375</v>
      </c>
      <c r="G276" s="113">
        <v>3066.04375</v>
      </c>
      <c r="H276" s="112">
        <v>3312.71875</v>
      </c>
      <c r="I276" s="112">
        <v>3415.5</v>
      </c>
      <c r="J276" s="113">
        <v>3795</v>
      </c>
      <c r="K276" s="112">
        <v>4315.23125</v>
      </c>
      <c r="L276" s="80">
        <v>4626.7375</v>
      </c>
      <c r="M276" s="80">
        <v>4813.325</v>
      </c>
      <c r="N276" s="15"/>
    </row>
    <row r="277" ht="18.75" customHeight="1" spans="1:14">
      <c r="A277" s="89" t="s">
        <v>81</v>
      </c>
      <c r="B277" s="112">
        <v>6355.04375</v>
      </c>
      <c r="C277" s="112">
        <v>6623.85625</v>
      </c>
      <c r="D277" s="113">
        <v>6715.56875</v>
      </c>
      <c r="E277" s="112">
        <v>7012.84375</v>
      </c>
      <c r="F277" s="112">
        <v>7332.25625</v>
      </c>
      <c r="G277" s="113">
        <v>8100.74375</v>
      </c>
      <c r="H277" s="112">
        <v>8646.275</v>
      </c>
      <c r="I277" s="112">
        <v>9504.89375</v>
      </c>
      <c r="J277" s="113">
        <v>10635.4875</v>
      </c>
      <c r="K277" s="112">
        <v>13075.35625</v>
      </c>
      <c r="L277" s="80">
        <v>14539.59375</v>
      </c>
      <c r="M277" s="80">
        <v>15418.76875</v>
      </c>
      <c r="N277" s="15"/>
    </row>
    <row r="278" ht="18.75" customHeight="1" spans="1:14">
      <c r="A278" s="89" t="s">
        <v>82</v>
      </c>
      <c r="B278" s="112">
        <v>8252.54375</v>
      </c>
      <c r="C278" s="112">
        <v>8521.35625</v>
      </c>
      <c r="D278" s="113">
        <v>8613.06875</v>
      </c>
      <c r="E278" s="112">
        <v>8910.34375</v>
      </c>
      <c r="F278" s="112">
        <v>9229.75625</v>
      </c>
      <c r="G278" s="113">
        <v>9998.24375</v>
      </c>
      <c r="H278" s="112">
        <v>10543.775</v>
      </c>
      <c r="I278" s="112">
        <v>11402.39375</v>
      </c>
      <c r="J278" s="113">
        <v>12532.9875</v>
      </c>
      <c r="K278" s="112">
        <v>14972.85625</v>
      </c>
      <c r="L278" s="80">
        <v>16437.09375</v>
      </c>
      <c r="M278" s="80">
        <v>17316.26875</v>
      </c>
      <c r="N278" s="15"/>
    </row>
    <row r="279" ht="18.75" customHeight="1" spans="1:14">
      <c r="A279" s="89" t="s">
        <v>39</v>
      </c>
      <c r="B279" s="112">
        <v>5692.5</v>
      </c>
      <c r="C279" s="112">
        <v>6434.10625</v>
      </c>
      <c r="D279" s="113">
        <v>6525.81875</v>
      </c>
      <c r="E279" s="112">
        <v>6823.09375</v>
      </c>
      <c r="F279" s="112">
        <v>7142.50625</v>
      </c>
      <c r="G279" s="113">
        <v>7721.24375</v>
      </c>
      <c r="H279" s="112">
        <v>8077.025</v>
      </c>
      <c r="I279" s="112">
        <v>8745.89375</v>
      </c>
      <c r="J279" s="113">
        <v>9680.4125</v>
      </c>
      <c r="K279" s="112">
        <v>11936.85625</v>
      </c>
      <c r="L279" s="80">
        <v>13290.40625</v>
      </c>
      <c r="M279" s="80">
        <v>14103.16875</v>
      </c>
      <c r="N279" s="15"/>
    </row>
    <row r="280" ht="18.75" customHeight="1" spans="1:14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 ht="23.25" customHeight="1" spans="1:14">
      <c r="A281" s="82" t="s">
        <v>35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15"/>
    </row>
    <row r="282" ht="18.75" customHeight="1" spans="1:14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5" t="s">
        <v>52</v>
      </c>
      <c r="N282" s="15"/>
    </row>
    <row r="283" ht="18.75" customHeight="1" spans="1:14">
      <c r="A283" s="15"/>
      <c r="B283" s="94"/>
      <c r="C283" s="94"/>
      <c r="D283" s="94"/>
      <c r="E283" s="94"/>
      <c r="F283" s="94"/>
      <c r="G283" s="94"/>
      <c r="H283" s="94"/>
      <c r="I283" s="94"/>
      <c r="J283" s="94"/>
      <c r="N283" s="15"/>
    </row>
    <row r="284" ht="21" customHeight="1" spans="1:14">
      <c r="A284" s="96" t="s">
        <v>91</v>
      </c>
      <c r="N284" s="15"/>
    </row>
    <row r="285" ht="21" customHeight="1" spans="1:14">
      <c r="A285" s="96" t="s">
        <v>87</v>
      </c>
      <c r="J285" s="15"/>
      <c r="K285" s="15"/>
      <c r="L285" s="15"/>
      <c r="M285" s="15"/>
      <c r="N285" s="15"/>
    </row>
    <row r="286" ht="21" customHeight="1" spans="1:14">
      <c r="A286" s="97" t="s">
        <v>126</v>
      </c>
      <c r="J286" s="91"/>
      <c r="K286" s="91"/>
      <c r="L286" s="91"/>
      <c r="M286" s="91"/>
      <c r="N286" s="15"/>
    </row>
    <row r="287" ht="28.5" customHeight="1" spans="1:14">
      <c r="A287" s="98"/>
      <c r="B287" s="99" t="s">
        <v>56</v>
      </c>
      <c r="C287" s="86" t="s">
        <v>57</v>
      </c>
      <c r="D287" s="86" t="s">
        <v>58</v>
      </c>
      <c r="E287" s="86" t="s">
        <v>59</v>
      </c>
      <c r="F287" s="86" t="s">
        <v>60</v>
      </c>
      <c r="G287" s="86" t="s">
        <v>61</v>
      </c>
      <c r="H287" s="86" t="s">
        <v>62</v>
      </c>
      <c r="I287" s="86" t="s">
        <v>63</v>
      </c>
      <c r="J287" s="86" t="s">
        <v>64</v>
      </c>
      <c r="K287" s="86" t="s">
        <v>65</v>
      </c>
      <c r="L287" s="86" t="s">
        <v>66</v>
      </c>
      <c r="M287" s="86" t="s">
        <v>67</v>
      </c>
      <c r="N287" s="15"/>
    </row>
    <row r="288" ht="18.75" customHeight="1" spans="1:14">
      <c r="A288" s="111" t="s">
        <v>68</v>
      </c>
      <c r="B288" s="80">
        <v>3993</v>
      </c>
      <c r="C288" s="80">
        <v>4265.25</v>
      </c>
      <c r="D288" s="114">
        <v>4610.1</v>
      </c>
      <c r="E288" s="80">
        <v>4794.625</v>
      </c>
      <c r="F288" s="80">
        <v>5263.5</v>
      </c>
      <c r="G288" s="114">
        <v>5634.0625</v>
      </c>
      <c r="H288" s="80">
        <v>5989.5</v>
      </c>
      <c r="I288" s="80">
        <v>6444.7625</v>
      </c>
      <c r="J288" s="114">
        <v>7285.7125</v>
      </c>
      <c r="K288" s="80">
        <v>8551.675</v>
      </c>
      <c r="L288" s="80">
        <v>9312.4625</v>
      </c>
      <c r="M288" s="80">
        <v>9819.15</v>
      </c>
      <c r="N288" s="15"/>
    </row>
    <row r="289" ht="18.75" customHeight="1" spans="1:14">
      <c r="A289" s="89" t="s">
        <v>18</v>
      </c>
      <c r="B289" s="80">
        <v>3406.15</v>
      </c>
      <c r="C289" s="80">
        <v>3630</v>
      </c>
      <c r="D289" s="114">
        <v>3894.6875</v>
      </c>
      <c r="E289" s="80">
        <v>4213.825</v>
      </c>
      <c r="F289" s="80">
        <v>4502.7125</v>
      </c>
      <c r="G289" s="114">
        <v>4731.1</v>
      </c>
      <c r="H289" s="80">
        <v>4858.15</v>
      </c>
      <c r="I289" s="80">
        <v>5189.3875</v>
      </c>
      <c r="J289" s="114">
        <v>5829.175</v>
      </c>
      <c r="K289" s="80">
        <v>6789.6125</v>
      </c>
      <c r="L289" s="80">
        <v>7365.875</v>
      </c>
      <c r="M289" s="80">
        <v>7750.05</v>
      </c>
      <c r="N289" s="15"/>
    </row>
    <row r="290" ht="18.75" customHeight="1" spans="1:14">
      <c r="A290" s="89" t="s">
        <v>19</v>
      </c>
      <c r="B290" s="80">
        <v>2793.5875</v>
      </c>
      <c r="C290" s="80">
        <v>2982.65</v>
      </c>
      <c r="D290" s="114">
        <v>3177.7625</v>
      </c>
      <c r="E290" s="80">
        <v>3451.525</v>
      </c>
      <c r="F290" s="80">
        <v>3645.125</v>
      </c>
      <c r="G290" s="114">
        <v>3991.4875</v>
      </c>
      <c r="H290" s="80">
        <v>4076.1875</v>
      </c>
      <c r="I290" s="80">
        <v>4295.5</v>
      </c>
      <c r="J290" s="114">
        <v>4737.15</v>
      </c>
      <c r="K290" s="80">
        <v>5389.0375</v>
      </c>
      <c r="L290" s="80">
        <v>5779.2625</v>
      </c>
      <c r="M290" s="80">
        <v>6040.925</v>
      </c>
      <c r="N290" s="15"/>
    </row>
    <row r="291" ht="18.75" customHeight="1" spans="1:14">
      <c r="A291" s="89" t="s">
        <v>20</v>
      </c>
      <c r="B291" s="80">
        <v>2315.6375</v>
      </c>
      <c r="C291" s="80">
        <v>2556.125</v>
      </c>
      <c r="D291" s="114">
        <v>2695.275</v>
      </c>
      <c r="E291" s="80">
        <v>2786.025</v>
      </c>
      <c r="F291" s="80">
        <v>3043.15</v>
      </c>
      <c r="G291" s="114">
        <v>3191.375</v>
      </c>
      <c r="H291" s="80">
        <v>3256.4125</v>
      </c>
      <c r="I291" s="80">
        <v>3496.9</v>
      </c>
      <c r="J291" s="114">
        <v>3822.0875</v>
      </c>
      <c r="K291" s="80">
        <v>4681.1875</v>
      </c>
      <c r="L291" s="80">
        <v>5088.05</v>
      </c>
      <c r="M291" s="80">
        <v>5330.05</v>
      </c>
      <c r="N291" s="15"/>
    </row>
    <row r="292" ht="18.75" customHeight="1" spans="1:14">
      <c r="A292" s="89" t="s">
        <v>21</v>
      </c>
      <c r="B292" s="80">
        <v>1861.8875</v>
      </c>
      <c r="C292" s="80">
        <v>2070.6125</v>
      </c>
      <c r="D292" s="114">
        <v>2165.9</v>
      </c>
      <c r="E292" s="80">
        <v>2229.425</v>
      </c>
      <c r="F292" s="80">
        <v>2410.925</v>
      </c>
      <c r="G292" s="114">
        <v>2707.375</v>
      </c>
      <c r="H292" s="80">
        <v>2751.2375</v>
      </c>
      <c r="I292" s="80">
        <v>2916.1</v>
      </c>
      <c r="J292" s="114">
        <v>3279.1</v>
      </c>
      <c r="K292" s="80">
        <v>3773.6875</v>
      </c>
      <c r="L292" s="80">
        <v>4068.625</v>
      </c>
      <c r="M292" s="80">
        <v>4247.1</v>
      </c>
      <c r="N292" s="15"/>
    </row>
    <row r="293" ht="18.75" customHeight="1" spans="1:14">
      <c r="A293" s="89" t="s">
        <v>22</v>
      </c>
      <c r="B293" s="80">
        <v>1560.9</v>
      </c>
      <c r="C293" s="80">
        <v>1759.0375</v>
      </c>
      <c r="D293" s="114">
        <v>1815</v>
      </c>
      <c r="E293" s="80">
        <v>1854.325</v>
      </c>
      <c r="F293" s="80">
        <v>1963.225</v>
      </c>
      <c r="G293" s="114">
        <v>2047.925</v>
      </c>
      <c r="H293" s="80">
        <v>2075.15</v>
      </c>
      <c r="I293" s="80">
        <v>2174.975</v>
      </c>
      <c r="J293" s="114">
        <v>2406.3875</v>
      </c>
      <c r="K293" s="80">
        <v>2707.375</v>
      </c>
      <c r="L293" s="80">
        <v>2888.875</v>
      </c>
      <c r="M293" s="80">
        <v>2996.2625</v>
      </c>
      <c r="N293" s="15"/>
    </row>
    <row r="294" ht="18.75" customHeight="1" spans="1:14">
      <c r="A294" s="89" t="s">
        <v>23</v>
      </c>
      <c r="B294" s="80">
        <v>4591.95</v>
      </c>
      <c r="C294" s="80">
        <v>4858.15</v>
      </c>
      <c r="D294" s="114">
        <v>5127.375</v>
      </c>
      <c r="E294" s="80">
        <v>5414.75</v>
      </c>
      <c r="F294" s="80">
        <v>5505.5</v>
      </c>
      <c r="G294" s="114">
        <v>5777.75</v>
      </c>
      <c r="H294" s="80">
        <v>6261.75</v>
      </c>
      <c r="I294" s="80">
        <v>6987.75</v>
      </c>
      <c r="J294" s="114">
        <v>8231.025</v>
      </c>
      <c r="K294" s="80">
        <v>10085.35</v>
      </c>
      <c r="L294" s="80">
        <v>11198.55</v>
      </c>
      <c r="M294" s="80">
        <v>11941.1875</v>
      </c>
      <c r="N294" s="15"/>
    </row>
    <row r="295" ht="18.75" customHeight="1" spans="1:14">
      <c r="A295" s="89" t="s">
        <v>24</v>
      </c>
      <c r="B295" s="80">
        <v>4228.95</v>
      </c>
      <c r="C295" s="80">
        <v>4495.15</v>
      </c>
      <c r="D295" s="114">
        <v>4764.375</v>
      </c>
      <c r="E295" s="80">
        <v>5051.75</v>
      </c>
      <c r="F295" s="80">
        <v>5142.5</v>
      </c>
      <c r="G295" s="114">
        <v>5414.75</v>
      </c>
      <c r="H295" s="80">
        <v>5898.75</v>
      </c>
      <c r="I295" s="80">
        <v>6624.75</v>
      </c>
      <c r="J295" s="114">
        <v>7868.025</v>
      </c>
      <c r="K295" s="80">
        <v>9722.35</v>
      </c>
      <c r="L295" s="80">
        <v>10835.55</v>
      </c>
      <c r="M295" s="80">
        <v>11578.1875</v>
      </c>
      <c r="N295" s="15"/>
    </row>
    <row r="296" ht="18.75" customHeight="1" spans="1:14">
      <c r="A296" s="89" t="s">
        <v>69</v>
      </c>
      <c r="B296" s="80">
        <v>6553.6625</v>
      </c>
      <c r="C296" s="80">
        <v>6812.3</v>
      </c>
      <c r="D296" s="114">
        <v>7199.5</v>
      </c>
      <c r="E296" s="80">
        <v>7919.45</v>
      </c>
      <c r="F296" s="80">
        <v>8252.2</v>
      </c>
      <c r="G296" s="114">
        <v>8822.4125</v>
      </c>
      <c r="H296" s="80">
        <v>9336.6625</v>
      </c>
      <c r="I296" s="80">
        <v>10419.6125</v>
      </c>
      <c r="J296" s="114">
        <v>11135.025</v>
      </c>
      <c r="K296" s="80">
        <v>13748.625</v>
      </c>
      <c r="L296" s="80">
        <v>15317.0875</v>
      </c>
      <c r="M296" s="80">
        <v>16362.225</v>
      </c>
      <c r="N296" s="15"/>
    </row>
    <row r="297" ht="18.75" customHeight="1" spans="1:14">
      <c r="A297" s="89" t="s">
        <v>27</v>
      </c>
      <c r="B297" s="80">
        <v>8492.6875</v>
      </c>
      <c r="C297" s="80">
        <v>8727.125</v>
      </c>
      <c r="D297" s="114">
        <v>9100.7125</v>
      </c>
      <c r="E297" s="80">
        <v>9928.05</v>
      </c>
      <c r="F297" s="80">
        <v>10242.65</v>
      </c>
      <c r="G297" s="114">
        <v>11363.4125</v>
      </c>
      <c r="H297" s="80">
        <v>12296.625</v>
      </c>
      <c r="I297" s="80">
        <v>13376.55</v>
      </c>
      <c r="J297" s="114">
        <v>15616.5625</v>
      </c>
      <c r="K297" s="80">
        <v>18293.6875</v>
      </c>
      <c r="L297" s="80">
        <v>19899.9625</v>
      </c>
      <c r="M297" s="80">
        <v>20863.425</v>
      </c>
      <c r="N297" s="15"/>
    </row>
    <row r="298" ht="18.75" customHeight="1" spans="1:14">
      <c r="A298" s="116" t="s">
        <v>70</v>
      </c>
      <c r="B298" s="80">
        <v>15770.8375</v>
      </c>
      <c r="C298" s="80">
        <v>16262.4</v>
      </c>
      <c r="D298" s="114">
        <v>16676.825</v>
      </c>
      <c r="E298" s="80">
        <v>17139.65</v>
      </c>
      <c r="F298" s="80">
        <v>17659.95</v>
      </c>
      <c r="G298" s="114">
        <v>18845.75</v>
      </c>
      <c r="H298" s="80">
        <v>19473.4375</v>
      </c>
      <c r="I298" s="80">
        <v>20827.125</v>
      </c>
      <c r="J298" s="114">
        <v>23357.5375</v>
      </c>
      <c r="K298" s="80">
        <v>27542.625</v>
      </c>
      <c r="L298" s="80">
        <v>30054.8875</v>
      </c>
      <c r="M298" s="80">
        <v>18513</v>
      </c>
      <c r="N298" s="15"/>
    </row>
    <row r="299" ht="18.75" customHeight="1" spans="1:14">
      <c r="A299" s="111" t="s">
        <v>32</v>
      </c>
      <c r="B299" s="80">
        <v>1790.8</v>
      </c>
      <c r="C299" s="80">
        <v>1830.125</v>
      </c>
      <c r="D299" s="114">
        <v>1960.2</v>
      </c>
      <c r="E299" s="80">
        <v>2171.95</v>
      </c>
      <c r="F299" s="80">
        <v>2333.7875</v>
      </c>
      <c r="G299" s="114">
        <v>2475.9625</v>
      </c>
      <c r="H299" s="80">
        <v>2687.7125</v>
      </c>
      <c r="I299" s="80">
        <v>2776.95</v>
      </c>
      <c r="J299" s="114">
        <v>3103.65</v>
      </c>
      <c r="K299" s="80">
        <v>3551.35</v>
      </c>
      <c r="L299" s="80">
        <v>3820.575</v>
      </c>
      <c r="M299" s="80">
        <v>3980.9</v>
      </c>
      <c r="N299" s="15"/>
    </row>
    <row r="300" ht="18.75" customHeight="1" spans="1:14">
      <c r="A300" s="111" t="s">
        <v>72</v>
      </c>
      <c r="B300" s="80">
        <v>5339.125</v>
      </c>
      <c r="C300" s="80">
        <v>5500.9625</v>
      </c>
      <c r="D300" s="114">
        <v>5569.025</v>
      </c>
      <c r="E300" s="80">
        <v>5782.2875</v>
      </c>
      <c r="F300" s="80">
        <v>5972.8625</v>
      </c>
      <c r="G300" s="114">
        <v>6431.15</v>
      </c>
      <c r="H300" s="80">
        <v>6642.9</v>
      </c>
      <c r="I300" s="80">
        <v>7107.2375</v>
      </c>
      <c r="J300" s="114">
        <v>7978.4375</v>
      </c>
      <c r="K300" s="80">
        <v>9625.55</v>
      </c>
      <c r="L300" s="80">
        <v>10611.7</v>
      </c>
      <c r="M300" s="80">
        <v>11206.1125</v>
      </c>
      <c r="N300" s="15"/>
    </row>
    <row r="301" ht="18.75" customHeight="1" spans="1:14">
      <c r="A301" s="111" t="s">
        <v>73</v>
      </c>
      <c r="B301" s="80">
        <v>2014.65</v>
      </c>
      <c r="C301" s="80">
        <v>2079.6875</v>
      </c>
      <c r="D301" s="114">
        <v>2203.7125</v>
      </c>
      <c r="E301" s="80">
        <v>2439.6625</v>
      </c>
      <c r="F301" s="80">
        <v>2537.975</v>
      </c>
      <c r="G301" s="114">
        <v>2825.35</v>
      </c>
      <c r="H301" s="80">
        <v>3085.5</v>
      </c>
      <c r="I301" s="80">
        <v>3531.6875</v>
      </c>
      <c r="J301" s="114">
        <v>3822.0875</v>
      </c>
      <c r="K301" s="80">
        <v>4525.4</v>
      </c>
      <c r="L301" s="80">
        <v>4945.875</v>
      </c>
      <c r="M301" s="80">
        <v>5199.975</v>
      </c>
      <c r="N301" s="15"/>
    </row>
    <row r="302" ht="18.75" customHeight="1" spans="1:14">
      <c r="A302" s="111" t="s">
        <v>74</v>
      </c>
      <c r="B302" s="80">
        <v>2652.925</v>
      </c>
      <c r="C302" s="80">
        <v>2746.7</v>
      </c>
      <c r="D302" s="114">
        <v>3067.35</v>
      </c>
      <c r="E302" s="80">
        <v>3142.975</v>
      </c>
      <c r="F302" s="80">
        <v>3357.75</v>
      </c>
      <c r="G302" s="114">
        <v>3872</v>
      </c>
      <c r="H302" s="80">
        <v>4064.0875</v>
      </c>
      <c r="I302" s="80">
        <v>4463.3875</v>
      </c>
      <c r="J302" s="114">
        <v>4784.0375</v>
      </c>
      <c r="K302" s="80">
        <v>5824.6375</v>
      </c>
      <c r="L302" s="80">
        <v>6449.3</v>
      </c>
      <c r="M302" s="80">
        <v>6822.8875</v>
      </c>
      <c r="N302" s="15"/>
    </row>
    <row r="303" ht="18.75" customHeight="1" spans="1:14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 ht="23.25" customHeight="1" spans="1:14">
      <c r="A304" s="82" t="s">
        <v>35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5"/>
    </row>
    <row r="305" ht="18.75" customHeight="1" spans="1:14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5" t="s">
        <v>52</v>
      </c>
      <c r="N305" s="15"/>
    </row>
    <row r="306" ht="18.75" customHeight="1" spans="1:14">
      <c r="A306" s="15"/>
      <c r="B306" s="94"/>
      <c r="C306" s="94"/>
      <c r="D306" s="94"/>
      <c r="E306" s="94"/>
      <c r="F306" s="94"/>
      <c r="G306" s="94"/>
      <c r="H306" s="94"/>
      <c r="I306" s="94"/>
      <c r="J306" s="94"/>
      <c r="N306" s="15"/>
    </row>
    <row r="307" ht="21" customHeight="1" spans="1:14">
      <c r="A307" s="96" t="s">
        <v>92</v>
      </c>
      <c r="N307" s="15"/>
    </row>
    <row r="308" ht="21" customHeight="1" spans="1:14">
      <c r="A308" s="96" t="s">
        <v>87</v>
      </c>
      <c r="J308" s="15"/>
      <c r="K308" s="15"/>
      <c r="L308" s="15"/>
      <c r="M308" s="15"/>
      <c r="N308" s="15"/>
    </row>
    <row r="309" ht="21" customHeight="1" spans="1:14">
      <c r="A309" s="97" t="s">
        <v>126</v>
      </c>
      <c r="J309" s="91"/>
      <c r="K309" s="91"/>
      <c r="L309" s="91"/>
      <c r="M309" s="91"/>
      <c r="N309" s="15"/>
    </row>
    <row r="310" ht="28.5" customHeight="1" spans="1:14">
      <c r="A310" s="98"/>
      <c r="B310" s="99" t="s">
        <v>56</v>
      </c>
      <c r="C310" s="86" t="s">
        <v>57</v>
      </c>
      <c r="D310" s="86" t="s">
        <v>58</v>
      </c>
      <c r="E310" s="86" t="s">
        <v>59</v>
      </c>
      <c r="F310" s="86" t="s">
        <v>60</v>
      </c>
      <c r="G310" s="86" t="s">
        <v>61</v>
      </c>
      <c r="H310" s="86" t="s">
        <v>62</v>
      </c>
      <c r="I310" s="86" t="s">
        <v>63</v>
      </c>
      <c r="J310" s="86" t="s">
        <v>64</v>
      </c>
      <c r="K310" s="86" t="s">
        <v>65</v>
      </c>
      <c r="L310" s="86" t="s">
        <v>66</v>
      </c>
      <c r="M310" s="86" t="s">
        <v>67</v>
      </c>
      <c r="N310" s="15"/>
    </row>
    <row r="311" ht="18.75" customHeight="1" spans="1:14">
      <c r="A311" s="111" t="s">
        <v>68</v>
      </c>
      <c r="B311" s="112">
        <v>4809.75</v>
      </c>
      <c r="C311" s="112">
        <v>5045.7</v>
      </c>
      <c r="D311" s="113">
        <v>5478.275</v>
      </c>
      <c r="E311" s="112">
        <v>6118.0625</v>
      </c>
      <c r="F311" s="112">
        <v>6352.5</v>
      </c>
      <c r="G311" s="113">
        <v>6246.625</v>
      </c>
      <c r="H311" s="112">
        <v>7902.8125</v>
      </c>
      <c r="I311" s="112">
        <v>8297.575</v>
      </c>
      <c r="J311" s="113">
        <v>8704.4375</v>
      </c>
      <c r="K311" s="112">
        <v>11071.5</v>
      </c>
      <c r="L311" s="80">
        <v>12490.225</v>
      </c>
      <c r="M311" s="80">
        <v>13438.5625</v>
      </c>
      <c r="N311" s="15"/>
    </row>
    <row r="312" ht="18.75" customHeight="1" spans="1:14">
      <c r="A312" s="89" t="s">
        <v>18</v>
      </c>
      <c r="B312" s="112">
        <v>3993</v>
      </c>
      <c r="C312" s="112">
        <v>4253.15</v>
      </c>
      <c r="D312" s="113">
        <v>4661.525</v>
      </c>
      <c r="E312" s="112">
        <v>5263.5</v>
      </c>
      <c r="F312" s="112">
        <v>5445</v>
      </c>
      <c r="G312" s="113">
        <v>5608.35</v>
      </c>
      <c r="H312" s="112">
        <v>6723.0625</v>
      </c>
      <c r="I312" s="112">
        <v>7078.5</v>
      </c>
      <c r="J312" s="113">
        <v>7343.1875</v>
      </c>
      <c r="K312" s="112">
        <v>9438</v>
      </c>
      <c r="L312" s="80">
        <v>10693.375</v>
      </c>
      <c r="M312" s="80">
        <v>11532.8125</v>
      </c>
      <c r="N312" s="15"/>
    </row>
    <row r="313" ht="18.75" customHeight="1" spans="1:14">
      <c r="A313" s="89" t="s">
        <v>19</v>
      </c>
      <c r="B313" s="112">
        <v>3313.8875</v>
      </c>
      <c r="C313" s="112">
        <v>3448.5</v>
      </c>
      <c r="D313" s="113">
        <v>3811.5</v>
      </c>
      <c r="E313" s="112">
        <v>4241.05</v>
      </c>
      <c r="F313" s="112">
        <v>4446.75</v>
      </c>
      <c r="G313" s="113">
        <v>4537.5</v>
      </c>
      <c r="H313" s="112">
        <v>5543.3125</v>
      </c>
      <c r="I313" s="112">
        <v>5841.275</v>
      </c>
      <c r="J313" s="113">
        <v>6065.125</v>
      </c>
      <c r="K313" s="112">
        <v>7928.525</v>
      </c>
      <c r="L313" s="80">
        <v>9046.2625</v>
      </c>
      <c r="M313" s="80">
        <v>9790.4125</v>
      </c>
      <c r="N313" s="15"/>
    </row>
    <row r="314" ht="18.75" customHeight="1" spans="1:14">
      <c r="A314" s="89" t="s">
        <v>20</v>
      </c>
      <c r="B314" s="112">
        <v>2671.075</v>
      </c>
      <c r="C314" s="112">
        <v>2725.525</v>
      </c>
      <c r="D314" s="113">
        <v>3015.925</v>
      </c>
      <c r="E314" s="112">
        <v>3560.425</v>
      </c>
      <c r="F314" s="112">
        <v>3690.5</v>
      </c>
      <c r="G314" s="113">
        <v>3811.5</v>
      </c>
      <c r="H314" s="112">
        <v>4337.85</v>
      </c>
      <c r="I314" s="112">
        <v>4673.625</v>
      </c>
      <c r="J314" s="113">
        <v>5351.225</v>
      </c>
      <c r="K314" s="112">
        <v>6285.95</v>
      </c>
      <c r="L314" s="80">
        <v>6845.575</v>
      </c>
      <c r="M314" s="80">
        <v>7181.35</v>
      </c>
      <c r="N314" s="15"/>
    </row>
    <row r="315" ht="18.75" customHeight="1" spans="1:14">
      <c r="A315" s="89" t="s">
        <v>21</v>
      </c>
      <c r="B315" s="112">
        <v>2178</v>
      </c>
      <c r="C315" s="112">
        <v>2362.525</v>
      </c>
      <c r="D315" s="113">
        <v>2541</v>
      </c>
      <c r="E315" s="112">
        <v>2764.85</v>
      </c>
      <c r="F315" s="112">
        <v>3018.95</v>
      </c>
      <c r="G315" s="113">
        <v>3319.9375</v>
      </c>
      <c r="H315" s="112">
        <v>3412.2</v>
      </c>
      <c r="I315" s="112">
        <v>3651.175</v>
      </c>
      <c r="J315" s="113">
        <v>4147.275</v>
      </c>
      <c r="K315" s="112">
        <v>4826.3875</v>
      </c>
      <c r="L315" s="80">
        <v>5233.25</v>
      </c>
      <c r="M315" s="80">
        <v>5478.275</v>
      </c>
      <c r="N315" s="15"/>
    </row>
    <row r="316" ht="18.75" customHeight="1" spans="1:14">
      <c r="A316" s="89" t="s">
        <v>22</v>
      </c>
      <c r="B316" s="80">
        <v>1880.0375</v>
      </c>
      <c r="C316" s="80">
        <v>1954.15</v>
      </c>
      <c r="D316" s="114">
        <v>2171.95</v>
      </c>
      <c r="E316" s="80">
        <v>2224.8875</v>
      </c>
      <c r="F316" s="80">
        <v>2377.65</v>
      </c>
      <c r="G316" s="114">
        <v>2468.4</v>
      </c>
      <c r="H316" s="80">
        <v>2516.8</v>
      </c>
      <c r="I316" s="80">
        <v>2652.925</v>
      </c>
      <c r="J316" s="114">
        <v>2956.9375</v>
      </c>
      <c r="K316" s="80">
        <v>3368.3375</v>
      </c>
      <c r="L316" s="80">
        <v>3614.875</v>
      </c>
      <c r="M316" s="80">
        <v>3764.6125</v>
      </c>
      <c r="N316" s="15"/>
    </row>
    <row r="317" ht="18.75" customHeight="1" spans="1:14">
      <c r="A317" s="89" t="s">
        <v>23</v>
      </c>
      <c r="B317" s="80">
        <v>5098.6375</v>
      </c>
      <c r="C317" s="80">
        <v>5575.075</v>
      </c>
      <c r="D317" s="114">
        <v>6234.525</v>
      </c>
      <c r="E317" s="80">
        <v>6741.2125</v>
      </c>
      <c r="F317" s="80">
        <v>7412.7625</v>
      </c>
      <c r="G317" s="114">
        <v>8296.0625</v>
      </c>
      <c r="H317" s="80">
        <v>9186.925</v>
      </c>
      <c r="I317" s="80">
        <v>9510.6</v>
      </c>
      <c r="J317" s="114">
        <v>10700.9375</v>
      </c>
      <c r="K317" s="80">
        <v>13849.9625</v>
      </c>
      <c r="L317" s="80">
        <v>15739.075</v>
      </c>
      <c r="M317" s="80">
        <v>16998.9875</v>
      </c>
      <c r="N317" s="15"/>
    </row>
    <row r="318" ht="18.75" customHeight="1" spans="1:14">
      <c r="A318" s="89" t="s">
        <v>24</v>
      </c>
      <c r="B318" s="80">
        <v>4735.6375</v>
      </c>
      <c r="C318" s="80">
        <v>5212.075</v>
      </c>
      <c r="D318" s="114">
        <v>5871.525</v>
      </c>
      <c r="E318" s="80">
        <v>6378.2125</v>
      </c>
      <c r="F318" s="80">
        <v>7049.7625</v>
      </c>
      <c r="G318" s="114">
        <v>7933.0625</v>
      </c>
      <c r="H318" s="80">
        <v>8823.925</v>
      </c>
      <c r="I318" s="80">
        <v>9147.6</v>
      </c>
      <c r="J318" s="114">
        <v>10337.9375</v>
      </c>
      <c r="K318" s="80">
        <v>13486.9625</v>
      </c>
      <c r="L318" s="80">
        <v>15376.075</v>
      </c>
      <c r="M318" s="80">
        <v>16635.9875</v>
      </c>
      <c r="N318" s="15"/>
    </row>
    <row r="319" ht="18.75" customHeight="1" spans="1:14">
      <c r="A319" s="89" t="s">
        <v>69</v>
      </c>
      <c r="B319" s="80">
        <v>7353.775</v>
      </c>
      <c r="C319" s="80">
        <v>7911.8875</v>
      </c>
      <c r="D319" s="114">
        <v>8566.8</v>
      </c>
      <c r="E319" s="80">
        <v>9268.6</v>
      </c>
      <c r="F319" s="80">
        <v>9726.8875</v>
      </c>
      <c r="G319" s="114">
        <v>10483.1375</v>
      </c>
      <c r="H319" s="80">
        <v>10933.8625</v>
      </c>
      <c r="I319" s="80">
        <v>11950.2625</v>
      </c>
      <c r="J319" s="114">
        <v>13403.775</v>
      </c>
      <c r="K319" s="80">
        <v>15081.1375</v>
      </c>
      <c r="L319" s="80">
        <v>15013.075</v>
      </c>
      <c r="M319" s="80">
        <v>16272.9875</v>
      </c>
      <c r="N319" s="15"/>
    </row>
    <row r="320" ht="18.75" customHeight="1" spans="1:14">
      <c r="A320" s="89" t="s">
        <v>27</v>
      </c>
      <c r="B320" s="80">
        <v>9788.9</v>
      </c>
      <c r="C320" s="80">
        <v>10384.825</v>
      </c>
      <c r="D320" s="114">
        <v>10723.625</v>
      </c>
      <c r="E320" s="80">
        <v>11370.975</v>
      </c>
      <c r="F320" s="80">
        <v>11888.25</v>
      </c>
      <c r="G320" s="114">
        <v>13146.65</v>
      </c>
      <c r="H320" s="80">
        <v>13960.375</v>
      </c>
      <c r="I320" s="80">
        <v>15772.35</v>
      </c>
      <c r="J320" s="114">
        <v>18767.1</v>
      </c>
      <c r="K320" s="80">
        <v>22769.175</v>
      </c>
      <c r="L320" s="80">
        <v>25171.025</v>
      </c>
      <c r="M320" s="80">
        <v>26610.925</v>
      </c>
      <c r="N320" s="15"/>
    </row>
    <row r="321" ht="18.75" customHeight="1" spans="1:14">
      <c r="A321" s="115" t="s">
        <v>70</v>
      </c>
      <c r="B321" s="80">
        <v>18060.7625</v>
      </c>
      <c r="C321" s="80">
        <v>18647.6125</v>
      </c>
      <c r="D321" s="114">
        <v>19127.075</v>
      </c>
      <c r="E321" s="80">
        <v>19671.575</v>
      </c>
      <c r="F321" s="80">
        <v>20288.675</v>
      </c>
      <c r="G321" s="114">
        <v>21683.2</v>
      </c>
      <c r="H321" s="80">
        <v>22434.9125</v>
      </c>
      <c r="I321" s="80">
        <v>24063.875</v>
      </c>
      <c r="J321" s="114">
        <v>26849.9</v>
      </c>
      <c r="K321" s="80">
        <v>31564.3625</v>
      </c>
      <c r="L321" s="80">
        <v>34394.25</v>
      </c>
      <c r="M321" s="80">
        <v>36091.275</v>
      </c>
      <c r="N321" s="15"/>
    </row>
    <row r="322" ht="18.75" customHeight="1" spans="1:14">
      <c r="A322" s="89" t="s">
        <v>32</v>
      </c>
      <c r="B322" s="80">
        <v>2111.45</v>
      </c>
      <c r="C322" s="80">
        <v>2152.2875</v>
      </c>
      <c r="D322" s="114">
        <v>2197.6625</v>
      </c>
      <c r="E322" s="80">
        <v>2421.5125</v>
      </c>
      <c r="F322" s="80">
        <v>2643.85</v>
      </c>
      <c r="G322" s="114">
        <v>2766.3625</v>
      </c>
      <c r="H322" s="80">
        <v>2994.75</v>
      </c>
      <c r="I322" s="80">
        <v>3091.55</v>
      </c>
      <c r="J322" s="114">
        <v>3409.175</v>
      </c>
      <c r="K322" s="80">
        <v>3791.8375</v>
      </c>
      <c r="L322" s="80">
        <v>4021.7375</v>
      </c>
      <c r="M322" s="80">
        <v>4159.375</v>
      </c>
      <c r="N322" s="15"/>
    </row>
    <row r="323" ht="18.75" customHeight="1" spans="1:14">
      <c r="A323" s="89" t="s">
        <v>81</v>
      </c>
      <c r="B323" s="80">
        <v>5980.425</v>
      </c>
      <c r="C323" s="80">
        <v>6178.5625</v>
      </c>
      <c r="D323" s="114">
        <v>6234.525</v>
      </c>
      <c r="E323" s="80">
        <v>6470.475</v>
      </c>
      <c r="F323" s="80">
        <v>6703.4</v>
      </c>
      <c r="G323" s="114">
        <v>7358.3125</v>
      </c>
      <c r="H323" s="80">
        <v>7949.7</v>
      </c>
      <c r="I323" s="80">
        <v>8556.2125</v>
      </c>
      <c r="J323" s="114">
        <v>9438</v>
      </c>
      <c r="K323" s="80">
        <v>11851.95</v>
      </c>
      <c r="L323" s="80">
        <v>13300.925</v>
      </c>
      <c r="M323" s="80">
        <v>14169.1</v>
      </c>
      <c r="N323" s="15"/>
    </row>
    <row r="324" ht="18.75" customHeight="1" spans="1:14">
      <c r="A324" s="89" t="s">
        <v>82</v>
      </c>
      <c r="B324" s="80">
        <v>7287.225</v>
      </c>
      <c r="C324" s="80">
        <v>7570.0625</v>
      </c>
      <c r="D324" s="114">
        <v>7624.5125</v>
      </c>
      <c r="E324" s="80">
        <v>7957.2625</v>
      </c>
      <c r="F324" s="80">
        <v>8285.475</v>
      </c>
      <c r="G324" s="114">
        <v>8928.2875</v>
      </c>
      <c r="H324" s="80">
        <v>9274.65</v>
      </c>
      <c r="I324" s="80">
        <v>10015.775</v>
      </c>
      <c r="J324" s="114">
        <v>11171.325</v>
      </c>
      <c r="K324" s="80">
        <v>13695.6875</v>
      </c>
      <c r="L324" s="80">
        <v>15211.2125</v>
      </c>
      <c r="M324" s="80">
        <v>16118.7125</v>
      </c>
      <c r="N324" s="15"/>
    </row>
    <row r="325" ht="18.75" customHeight="1" spans="1:14">
      <c r="A325" s="89" t="s">
        <v>39</v>
      </c>
      <c r="B325" s="80">
        <v>4954.95</v>
      </c>
      <c r="C325" s="80">
        <v>5019.9875</v>
      </c>
      <c r="D325" s="114">
        <v>5163.675</v>
      </c>
      <c r="E325" s="80">
        <v>5655.2375</v>
      </c>
      <c r="F325" s="80">
        <v>5977.4</v>
      </c>
      <c r="G325" s="114">
        <v>6479.55</v>
      </c>
      <c r="H325" s="80">
        <v>6571.8125</v>
      </c>
      <c r="I325" s="80">
        <v>6824.4</v>
      </c>
      <c r="J325" s="114">
        <v>7374.95</v>
      </c>
      <c r="K325" s="80">
        <v>8622.7625</v>
      </c>
      <c r="L325" s="80">
        <v>9372.9625</v>
      </c>
      <c r="M325" s="80">
        <v>9820.6625</v>
      </c>
      <c r="N325" s="15"/>
    </row>
    <row r="326" ht="18.75" customHeight="1" spans="1:14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 ht="23.25" customHeight="1" spans="1:14">
      <c r="A327" s="82" t="s">
        <v>35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15"/>
    </row>
    <row r="328" ht="18.75" customHeight="1" spans="1:14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5" t="s">
        <v>52</v>
      </c>
      <c r="N328" s="15"/>
    </row>
    <row r="329" ht="18.75" customHeight="1" spans="1:14">
      <c r="A329" s="15"/>
      <c r="B329" s="94"/>
      <c r="C329" s="94"/>
      <c r="D329" s="94"/>
      <c r="E329" s="94"/>
      <c r="F329" s="94"/>
      <c r="G329" s="94"/>
      <c r="H329" s="94"/>
      <c r="I329" s="94"/>
      <c r="J329" s="94"/>
      <c r="N329" s="15"/>
    </row>
    <row r="330" ht="21" customHeight="1" spans="1:14">
      <c r="A330" s="96" t="s">
        <v>91</v>
      </c>
      <c r="N330" s="15"/>
    </row>
    <row r="331" ht="21" customHeight="1" spans="1:14">
      <c r="A331" s="96" t="s">
        <v>89</v>
      </c>
      <c r="K331" s="15"/>
      <c r="L331" s="15"/>
      <c r="M331" s="15"/>
      <c r="N331" s="15"/>
    </row>
    <row r="332" ht="21" customHeight="1" spans="1:14">
      <c r="A332" s="97" t="s">
        <v>126</v>
      </c>
      <c r="J332" s="91"/>
      <c r="K332" s="91"/>
      <c r="L332" s="91"/>
      <c r="M332" s="91"/>
      <c r="N332" s="15"/>
    </row>
    <row r="333" ht="28.5" customHeight="1" spans="1:14">
      <c r="A333" s="98"/>
      <c r="B333" s="99" t="s">
        <v>56</v>
      </c>
      <c r="C333" s="86" t="s">
        <v>57</v>
      </c>
      <c r="D333" s="86" t="s">
        <v>58</v>
      </c>
      <c r="E333" s="86" t="s">
        <v>59</v>
      </c>
      <c r="F333" s="86" t="s">
        <v>60</v>
      </c>
      <c r="G333" s="86" t="s">
        <v>61</v>
      </c>
      <c r="H333" s="86" t="s">
        <v>62</v>
      </c>
      <c r="I333" s="86" t="s">
        <v>63</v>
      </c>
      <c r="J333" s="86" t="s">
        <v>64</v>
      </c>
      <c r="K333" s="86" t="s">
        <v>65</v>
      </c>
      <c r="L333" s="86" t="s">
        <v>66</v>
      </c>
      <c r="M333" s="86" t="s">
        <v>67</v>
      </c>
      <c r="N333" s="15"/>
    </row>
    <row r="334" ht="18.75" customHeight="1" spans="1:14">
      <c r="A334" s="111" t="s">
        <v>68</v>
      </c>
      <c r="B334" s="117">
        <v>5229.19375</v>
      </c>
      <c r="C334" s="117">
        <v>5316.1625</v>
      </c>
      <c r="D334" s="118">
        <v>5698.825</v>
      </c>
      <c r="E334" s="117">
        <v>6158.96875</v>
      </c>
      <c r="F334" s="117">
        <v>6641.25</v>
      </c>
      <c r="G334" s="118">
        <v>6925.875</v>
      </c>
      <c r="H334" s="117">
        <v>7264.2625</v>
      </c>
      <c r="I334" s="117">
        <v>7969.5</v>
      </c>
      <c r="J334" s="118">
        <v>8728.5</v>
      </c>
      <c r="K334" s="117">
        <v>10626</v>
      </c>
      <c r="L334" s="117">
        <v>12238.875</v>
      </c>
      <c r="M334" s="117">
        <v>12523.5</v>
      </c>
      <c r="N334" s="15"/>
    </row>
    <row r="335" ht="18.75" customHeight="1" spans="1:14">
      <c r="A335" s="89" t="s">
        <v>18</v>
      </c>
      <c r="B335" s="117">
        <v>4286.76875</v>
      </c>
      <c r="C335" s="117">
        <v>4612.50625</v>
      </c>
      <c r="D335" s="118">
        <v>5007.81875</v>
      </c>
      <c r="E335" s="117">
        <v>5357.275</v>
      </c>
      <c r="F335" s="117">
        <v>5675.10625</v>
      </c>
      <c r="G335" s="118">
        <v>5947.08125</v>
      </c>
      <c r="H335" s="117">
        <v>6287.05</v>
      </c>
      <c r="I335" s="117">
        <v>7182.0375</v>
      </c>
      <c r="J335" s="118">
        <v>7392.34375</v>
      </c>
      <c r="K335" s="117">
        <v>9108</v>
      </c>
      <c r="L335" s="117">
        <v>9904.95</v>
      </c>
      <c r="M335" s="117">
        <v>10482.10625</v>
      </c>
      <c r="N335" s="15"/>
    </row>
    <row r="336" ht="18.75" customHeight="1" spans="1:14">
      <c r="A336" s="89" t="s">
        <v>19</v>
      </c>
      <c r="B336" s="117">
        <v>3339.6</v>
      </c>
      <c r="C336" s="117">
        <v>3621.0625</v>
      </c>
      <c r="D336" s="118">
        <v>3946.8</v>
      </c>
      <c r="E336" s="117">
        <v>4242.49375</v>
      </c>
      <c r="F336" s="117">
        <v>4645.7125</v>
      </c>
      <c r="G336" s="118">
        <v>4933.5</v>
      </c>
      <c r="H336" s="117">
        <v>5129.575</v>
      </c>
      <c r="I336" s="117">
        <v>5570.74375</v>
      </c>
      <c r="J336" s="118">
        <v>6072</v>
      </c>
      <c r="K336" s="117">
        <v>7684.875</v>
      </c>
      <c r="L336" s="117">
        <v>8197.2</v>
      </c>
      <c r="M336" s="117">
        <v>8728.5</v>
      </c>
      <c r="N336" s="15"/>
    </row>
    <row r="337" ht="18.75" customHeight="1" spans="1:14">
      <c r="A337" s="89" t="s">
        <v>20</v>
      </c>
      <c r="B337" s="117">
        <v>2771.93125</v>
      </c>
      <c r="C337" s="117">
        <v>3024.93125</v>
      </c>
      <c r="D337" s="118">
        <v>3309.55625</v>
      </c>
      <c r="E337" s="117">
        <v>3575.20625</v>
      </c>
      <c r="F337" s="117">
        <v>3851.925</v>
      </c>
      <c r="G337" s="118">
        <v>3984.75</v>
      </c>
      <c r="H337" s="117">
        <v>4190.3125</v>
      </c>
      <c r="I337" s="117">
        <v>4487.5875</v>
      </c>
      <c r="J337" s="118">
        <v>4933.5</v>
      </c>
      <c r="K337" s="117">
        <v>5942.3375</v>
      </c>
      <c r="L337" s="117">
        <v>6547.95625</v>
      </c>
      <c r="M337" s="117">
        <v>6952.75625</v>
      </c>
      <c r="N337" s="15"/>
    </row>
    <row r="338" ht="18.75" customHeight="1" spans="1:14">
      <c r="A338" s="89" t="s">
        <v>21</v>
      </c>
      <c r="B338" s="117">
        <v>2629.61875</v>
      </c>
      <c r="C338" s="117">
        <v>2662.825</v>
      </c>
      <c r="D338" s="118">
        <v>2776.675</v>
      </c>
      <c r="E338" s="117">
        <v>2857.31875</v>
      </c>
      <c r="F338" s="117">
        <v>3070.7875</v>
      </c>
      <c r="G338" s="118">
        <v>3219.425</v>
      </c>
      <c r="H338" s="117">
        <v>3284.25625</v>
      </c>
      <c r="I338" s="117">
        <v>3497.725</v>
      </c>
      <c r="J338" s="118">
        <v>3959.45</v>
      </c>
      <c r="K338" s="117">
        <v>4557.1625</v>
      </c>
      <c r="L338" s="117">
        <v>4916.10625</v>
      </c>
      <c r="M338" s="117">
        <v>5154.875</v>
      </c>
      <c r="N338" s="15"/>
    </row>
    <row r="339" ht="18.75" customHeight="1" spans="1:14">
      <c r="A339" s="89" t="s">
        <v>22</v>
      </c>
      <c r="B339" s="117">
        <v>2005.025</v>
      </c>
      <c r="C339" s="117">
        <v>2024</v>
      </c>
      <c r="D339" s="118">
        <v>2090.4125</v>
      </c>
      <c r="E339" s="117">
        <v>2141.0125</v>
      </c>
      <c r="F339" s="117">
        <v>2264.35</v>
      </c>
      <c r="G339" s="118">
        <v>2368.7125</v>
      </c>
      <c r="H339" s="117">
        <v>2406.6625</v>
      </c>
      <c r="I339" s="117">
        <v>2697.6125</v>
      </c>
      <c r="J339" s="118">
        <v>2990.14375</v>
      </c>
      <c r="K339" s="117">
        <v>3358.575</v>
      </c>
      <c r="L339" s="117">
        <v>3578.36875</v>
      </c>
      <c r="M339" s="117">
        <v>3727.00625</v>
      </c>
      <c r="N339" s="15"/>
    </row>
    <row r="340" ht="18.75" customHeight="1" spans="1:14">
      <c r="A340" s="89" t="s">
        <v>23</v>
      </c>
      <c r="B340" s="117">
        <v>5917.0375</v>
      </c>
      <c r="C340" s="117">
        <v>6397.7375</v>
      </c>
      <c r="D340" s="118">
        <v>6691.85</v>
      </c>
      <c r="E340" s="117">
        <v>7384.4375</v>
      </c>
      <c r="F340" s="117">
        <v>7866.71875</v>
      </c>
      <c r="G340" s="118">
        <v>8364.8125</v>
      </c>
      <c r="H340" s="117">
        <v>8791.75</v>
      </c>
      <c r="I340" s="117">
        <v>9912.85625</v>
      </c>
      <c r="J340" s="118">
        <v>11008.6625</v>
      </c>
      <c r="K340" s="117">
        <v>13805.89375</v>
      </c>
      <c r="L340" s="117">
        <v>15217.95</v>
      </c>
      <c r="M340" s="117">
        <v>15942.1625</v>
      </c>
      <c r="N340" s="15"/>
    </row>
    <row r="341" ht="18.75" customHeight="1" spans="1:14">
      <c r="A341" s="89" t="s">
        <v>24</v>
      </c>
      <c r="B341" s="117">
        <v>5537.5375</v>
      </c>
      <c r="C341" s="117">
        <v>6018.2375</v>
      </c>
      <c r="D341" s="118">
        <v>6312.35</v>
      </c>
      <c r="E341" s="117">
        <v>7004.9375</v>
      </c>
      <c r="F341" s="117">
        <v>7487.21875</v>
      </c>
      <c r="G341" s="118">
        <v>7985.3125</v>
      </c>
      <c r="H341" s="117">
        <v>8459.6875</v>
      </c>
      <c r="I341" s="117">
        <v>9533.35625</v>
      </c>
      <c r="J341" s="118">
        <v>10629.1625</v>
      </c>
      <c r="K341" s="117">
        <v>13426.39375</v>
      </c>
      <c r="L341" s="117">
        <v>14838.45</v>
      </c>
      <c r="M341" s="117">
        <v>15562.6625</v>
      </c>
      <c r="N341" s="15"/>
    </row>
    <row r="342" ht="18.75" customHeight="1" spans="1:14">
      <c r="A342" s="89" t="s">
        <v>69</v>
      </c>
      <c r="B342" s="117">
        <v>7096.65</v>
      </c>
      <c r="C342" s="117">
        <v>7574.1875</v>
      </c>
      <c r="D342" s="118">
        <v>8190.875</v>
      </c>
      <c r="E342" s="117">
        <v>9218.6875</v>
      </c>
      <c r="F342" s="117">
        <v>9332.5375</v>
      </c>
      <c r="G342" s="118">
        <v>9961.875</v>
      </c>
      <c r="H342" s="117">
        <v>10521.6375</v>
      </c>
      <c r="I342" s="117">
        <v>11701.25</v>
      </c>
      <c r="J342" s="118">
        <v>12710.0875</v>
      </c>
      <c r="K342" s="117">
        <v>15608.51875</v>
      </c>
      <c r="L342" s="117">
        <v>17349.475</v>
      </c>
      <c r="M342" s="117">
        <v>18508.53125</v>
      </c>
      <c r="N342" s="15"/>
    </row>
    <row r="343" ht="18.75" customHeight="1" spans="1:14">
      <c r="A343" s="89" t="s">
        <v>27</v>
      </c>
      <c r="B343" s="117">
        <v>9593.44375</v>
      </c>
      <c r="C343" s="117">
        <v>10083.63125</v>
      </c>
      <c r="D343" s="118">
        <v>10537.45</v>
      </c>
      <c r="E343" s="117">
        <v>11288.54375</v>
      </c>
      <c r="F343" s="117">
        <v>11878.35</v>
      </c>
      <c r="G343" s="118">
        <v>13174.975</v>
      </c>
      <c r="H343" s="117">
        <v>14604.425</v>
      </c>
      <c r="I343" s="117">
        <v>16089.21875</v>
      </c>
      <c r="J343" s="118">
        <v>18450.025</v>
      </c>
      <c r="K343" s="117">
        <v>21789.625</v>
      </c>
      <c r="L343" s="117">
        <v>23793.06875</v>
      </c>
      <c r="M343" s="117">
        <v>24996.4</v>
      </c>
      <c r="N343" s="15"/>
    </row>
    <row r="344" ht="18.75" customHeight="1" spans="1:14">
      <c r="A344" s="115" t="s">
        <v>70</v>
      </c>
      <c r="B344" s="117">
        <v>17355.8</v>
      </c>
      <c r="C344" s="117">
        <v>17939.28125</v>
      </c>
      <c r="D344" s="118">
        <v>18440.5375</v>
      </c>
      <c r="E344" s="117">
        <v>18995.55625</v>
      </c>
      <c r="F344" s="117">
        <v>19613.825</v>
      </c>
      <c r="G344" s="118">
        <v>20978.44375</v>
      </c>
      <c r="H344" s="117">
        <v>21715.30625</v>
      </c>
      <c r="I344" s="117">
        <v>23301.3</v>
      </c>
      <c r="J344" s="118">
        <v>26188.6625</v>
      </c>
      <c r="K344" s="117">
        <v>31155.36875</v>
      </c>
      <c r="L344" s="117">
        <v>34134.44375</v>
      </c>
      <c r="M344" s="117">
        <v>36205.88125</v>
      </c>
      <c r="N344" s="15"/>
    </row>
    <row r="345" ht="18.75" customHeight="1" spans="1:14">
      <c r="A345" s="111" t="s">
        <v>71</v>
      </c>
      <c r="B345" s="117">
        <v>2080.925</v>
      </c>
      <c r="C345" s="117">
        <v>2125.2</v>
      </c>
      <c r="D345" s="118">
        <v>2277</v>
      </c>
      <c r="E345" s="117">
        <v>2523.675</v>
      </c>
      <c r="F345" s="117">
        <v>2711.84375</v>
      </c>
      <c r="G345" s="118">
        <v>2876.29375</v>
      </c>
      <c r="H345" s="117">
        <v>3122.96875</v>
      </c>
      <c r="I345" s="117">
        <v>3225.75</v>
      </c>
      <c r="J345" s="118">
        <v>3605.25</v>
      </c>
      <c r="K345" s="117">
        <v>4125.48125</v>
      </c>
      <c r="L345" s="117">
        <v>4436.9875</v>
      </c>
      <c r="M345" s="117">
        <v>4623.575</v>
      </c>
      <c r="N345" s="15"/>
    </row>
    <row r="346" ht="18.75" customHeight="1" spans="1:14">
      <c r="A346" s="111" t="s">
        <v>72</v>
      </c>
      <c r="B346" s="117">
        <v>5828.4875</v>
      </c>
      <c r="C346" s="117">
        <v>6008.75</v>
      </c>
      <c r="D346" s="118">
        <v>6092.55625</v>
      </c>
      <c r="E346" s="117">
        <v>6328.1625</v>
      </c>
      <c r="F346" s="117">
        <v>6538.46875</v>
      </c>
      <c r="G346" s="118">
        <v>7041.30625</v>
      </c>
      <c r="H346" s="117">
        <v>7275.33125</v>
      </c>
      <c r="I346" s="117">
        <v>7787.65625</v>
      </c>
      <c r="J346" s="118">
        <v>8736.40625</v>
      </c>
      <c r="K346" s="117">
        <v>10539.03125</v>
      </c>
      <c r="L346" s="117">
        <v>11620.60625</v>
      </c>
      <c r="M346" s="117">
        <v>12268.91875</v>
      </c>
      <c r="N346" s="15"/>
    </row>
    <row r="347" ht="18.75" customHeight="1" spans="1:14">
      <c r="A347" s="111" t="s">
        <v>73</v>
      </c>
      <c r="B347" s="117">
        <v>2362.3875</v>
      </c>
      <c r="C347" s="117">
        <v>2460.425</v>
      </c>
      <c r="D347" s="118">
        <v>2635.94375</v>
      </c>
      <c r="E347" s="117">
        <v>2779.8375</v>
      </c>
      <c r="F347" s="117">
        <v>2884.2</v>
      </c>
      <c r="G347" s="118">
        <v>3233.65625</v>
      </c>
      <c r="H347" s="117">
        <v>3461.35625</v>
      </c>
      <c r="I347" s="117">
        <v>4030.60625</v>
      </c>
      <c r="J347" s="118">
        <v>4372.15625</v>
      </c>
      <c r="K347" s="117">
        <v>5362.01875</v>
      </c>
      <c r="L347" s="117">
        <v>5956.56875</v>
      </c>
      <c r="M347" s="117">
        <v>6312.35</v>
      </c>
      <c r="N347" s="15"/>
    </row>
    <row r="348" ht="18.75" customHeight="1" spans="1:14">
      <c r="A348" s="119" t="s">
        <v>74</v>
      </c>
      <c r="B348" s="117">
        <v>2982.2375</v>
      </c>
      <c r="C348" s="117">
        <v>3130.875</v>
      </c>
      <c r="D348" s="118">
        <v>3339.6</v>
      </c>
      <c r="E348" s="117">
        <v>3459.775</v>
      </c>
      <c r="F348" s="117">
        <v>3644.78125</v>
      </c>
      <c r="G348" s="118">
        <v>4244.075</v>
      </c>
      <c r="H348" s="117">
        <v>4528.7</v>
      </c>
      <c r="I348" s="117">
        <v>5026.79375</v>
      </c>
      <c r="J348" s="118">
        <v>5605.53125</v>
      </c>
      <c r="K348" s="117">
        <v>6728.21875</v>
      </c>
      <c r="L348" s="117">
        <v>7401.83125</v>
      </c>
      <c r="M348" s="117">
        <v>7806.63125</v>
      </c>
      <c r="N348" s="15"/>
    </row>
    <row r="349" ht="18.75" customHeight="1" spans="1:14">
      <c r="A349" s="111" t="s">
        <v>77</v>
      </c>
      <c r="B349" s="117">
        <v>3937.3125</v>
      </c>
      <c r="C349" s="117">
        <v>4041.675</v>
      </c>
      <c r="D349" s="118">
        <v>4370.575</v>
      </c>
      <c r="E349" s="117">
        <v>4743.75</v>
      </c>
      <c r="F349" s="117">
        <v>5028.375</v>
      </c>
      <c r="G349" s="118">
        <v>5690.91875</v>
      </c>
      <c r="H349" s="117">
        <v>6217.475</v>
      </c>
      <c r="I349" s="117">
        <v>6745.6125</v>
      </c>
      <c r="J349" s="118">
        <v>7378.1125</v>
      </c>
      <c r="K349" s="117">
        <v>8956.2</v>
      </c>
      <c r="L349" s="117">
        <v>9903.36875</v>
      </c>
      <c r="M349" s="117">
        <v>10534.2875</v>
      </c>
      <c r="N349" s="15"/>
    </row>
    <row r="350" ht="18.75" customHeight="1" spans="1:14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 ht="23.25" customHeight="1" spans="1:14">
      <c r="A351" s="82" t="s">
        <v>35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15"/>
    </row>
    <row r="352" ht="18.75" customHeight="1" spans="1:14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5" t="s">
        <v>52</v>
      </c>
      <c r="N352" s="15"/>
    </row>
    <row r="353" ht="18.75" customHeight="1" spans="1:14">
      <c r="A353" s="15"/>
      <c r="B353" s="94"/>
      <c r="C353" s="94"/>
      <c r="D353" s="94"/>
      <c r="E353" s="94"/>
      <c r="F353" s="94"/>
      <c r="G353" s="94"/>
      <c r="H353" s="94"/>
      <c r="I353" s="94"/>
      <c r="J353" s="94"/>
      <c r="N353" s="15"/>
    </row>
    <row r="354" ht="21" customHeight="1" spans="1:14">
      <c r="A354" s="96" t="s">
        <v>92</v>
      </c>
      <c r="N354" s="15"/>
    </row>
    <row r="355" ht="21" customHeight="1" spans="1:14">
      <c r="A355" s="96" t="s">
        <v>89</v>
      </c>
      <c r="K355" s="15"/>
      <c r="L355" s="15"/>
      <c r="M355" s="15"/>
      <c r="N355" s="15"/>
    </row>
    <row r="356" ht="21" customHeight="1" spans="1:14">
      <c r="A356" s="97" t="s">
        <v>126</v>
      </c>
      <c r="J356" s="91"/>
      <c r="K356" s="91"/>
      <c r="L356" s="91"/>
      <c r="M356" s="91"/>
      <c r="N356" s="15"/>
    </row>
    <row r="357" ht="28.5" customHeight="1" spans="1:14">
      <c r="A357" s="98"/>
      <c r="B357" s="99" t="s">
        <v>56</v>
      </c>
      <c r="C357" s="86" t="s">
        <v>57</v>
      </c>
      <c r="D357" s="86" t="s">
        <v>58</v>
      </c>
      <c r="E357" s="86" t="s">
        <v>59</v>
      </c>
      <c r="F357" s="86" t="s">
        <v>60</v>
      </c>
      <c r="G357" s="86" t="s">
        <v>61</v>
      </c>
      <c r="H357" s="86" t="s">
        <v>62</v>
      </c>
      <c r="I357" s="86" t="s">
        <v>63</v>
      </c>
      <c r="J357" s="86" t="s">
        <v>64</v>
      </c>
      <c r="K357" s="86" t="s">
        <v>65</v>
      </c>
      <c r="L357" s="86" t="s">
        <v>66</v>
      </c>
      <c r="M357" s="86" t="s">
        <v>67</v>
      </c>
      <c r="N357" s="15"/>
    </row>
    <row r="358" ht="18.75" customHeight="1" spans="1:14">
      <c r="A358" s="111" t="s">
        <v>68</v>
      </c>
      <c r="B358" s="117">
        <v>6059.35</v>
      </c>
      <c r="C358" s="117">
        <v>6593.8125</v>
      </c>
      <c r="D358" s="118">
        <v>7020.75</v>
      </c>
      <c r="E358" s="117">
        <v>7608.975</v>
      </c>
      <c r="F358" s="117">
        <v>8070.7</v>
      </c>
      <c r="G358" s="118">
        <v>8423.31875</v>
      </c>
      <c r="H358" s="117">
        <v>9234.5</v>
      </c>
      <c r="I358" s="117">
        <v>10085.2125</v>
      </c>
      <c r="J358" s="118">
        <v>10844.2125</v>
      </c>
      <c r="K358" s="117">
        <v>13851.75</v>
      </c>
      <c r="L358" s="80">
        <v>15180</v>
      </c>
      <c r="M358" s="80">
        <v>16318.5</v>
      </c>
      <c r="N358" s="15"/>
    </row>
    <row r="359" ht="18.75" customHeight="1" spans="1:14">
      <c r="A359" s="89" t="s">
        <v>18</v>
      </c>
      <c r="B359" s="117">
        <v>5227.6125</v>
      </c>
      <c r="C359" s="117">
        <v>5577.06875</v>
      </c>
      <c r="D359" s="118">
        <v>6072</v>
      </c>
      <c r="E359" s="117">
        <v>6434.10625</v>
      </c>
      <c r="F359" s="117">
        <v>6831</v>
      </c>
      <c r="G359" s="118">
        <v>7008.1</v>
      </c>
      <c r="H359" s="117">
        <v>7950.525</v>
      </c>
      <c r="I359" s="117">
        <v>8824.95625</v>
      </c>
      <c r="J359" s="118">
        <v>9108</v>
      </c>
      <c r="K359" s="117">
        <v>11764.5</v>
      </c>
      <c r="L359" s="80">
        <v>12903</v>
      </c>
      <c r="M359" s="80">
        <v>13946.625</v>
      </c>
      <c r="N359" s="15"/>
    </row>
    <row r="360" ht="18.75" customHeight="1" spans="1:14">
      <c r="A360" s="89" t="s">
        <v>19</v>
      </c>
      <c r="B360" s="117">
        <v>4266.2125</v>
      </c>
      <c r="C360" s="117">
        <v>4561.90625</v>
      </c>
      <c r="D360" s="118">
        <v>4933.5</v>
      </c>
      <c r="E360" s="117">
        <v>5257.65625</v>
      </c>
      <c r="F360" s="117">
        <v>5581.8125</v>
      </c>
      <c r="G360" s="118">
        <v>6163.7125</v>
      </c>
      <c r="H360" s="117">
        <v>6473.6375</v>
      </c>
      <c r="I360" s="117">
        <v>7183.61875</v>
      </c>
      <c r="J360" s="118">
        <v>7590</v>
      </c>
      <c r="K360" s="117">
        <v>9735.75625</v>
      </c>
      <c r="L360" s="80">
        <v>10741.43125</v>
      </c>
      <c r="M360" s="80">
        <v>11411.88125</v>
      </c>
      <c r="N360" s="15"/>
    </row>
    <row r="361" ht="18.75" customHeight="1" spans="1:14">
      <c r="A361" s="89" t="s">
        <v>20</v>
      </c>
      <c r="B361" s="117">
        <v>3893.0375</v>
      </c>
      <c r="C361" s="117">
        <v>3984.75</v>
      </c>
      <c r="D361" s="118">
        <v>4210.86875</v>
      </c>
      <c r="E361" s="117">
        <v>4367.4125</v>
      </c>
      <c r="F361" s="117">
        <v>4781.7</v>
      </c>
      <c r="G361" s="118">
        <v>4984.1</v>
      </c>
      <c r="H361" s="117">
        <v>5131.15625</v>
      </c>
      <c r="I361" s="117">
        <v>5528.05</v>
      </c>
      <c r="J361" s="118">
        <v>6337.65</v>
      </c>
      <c r="K361" s="117">
        <v>7428.7125</v>
      </c>
      <c r="L361" s="80">
        <v>8083.35</v>
      </c>
      <c r="M361" s="80">
        <v>8475.5</v>
      </c>
      <c r="N361" s="15"/>
    </row>
    <row r="362" ht="18.75" customHeight="1" spans="1:14">
      <c r="A362" s="89" t="s">
        <v>21</v>
      </c>
      <c r="B362" s="117">
        <v>3096.0875</v>
      </c>
      <c r="C362" s="117">
        <v>3162.5</v>
      </c>
      <c r="D362" s="118">
        <v>3323.7875</v>
      </c>
      <c r="E362" s="117">
        <v>3436.05625</v>
      </c>
      <c r="F362" s="117">
        <v>3731.75</v>
      </c>
      <c r="G362" s="118">
        <v>3889.875</v>
      </c>
      <c r="H362" s="117">
        <v>3994.2375</v>
      </c>
      <c r="I362" s="117">
        <v>4277.28125</v>
      </c>
      <c r="J362" s="118">
        <v>4867.0875</v>
      </c>
      <c r="K362" s="117">
        <v>5660.875</v>
      </c>
      <c r="L362" s="80">
        <v>6136.83125</v>
      </c>
      <c r="M362" s="80">
        <v>6421.45625</v>
      </c>
      <c r="N362" s="15"/>
    </row>
    <row r="363" ht="18.75" customHeight="1" spans="1:14">
      <c r="A363" s="89" t="s">
        <v>22</v>
      </c>
      <c r="B363" s="117">
        <v>2333.925</v>
      </c>
      <c r="C363" s="117">
        <v>2370.29375</v>
      </c>
      <c r="D363" s="118">
        <v>2460.425</v>
      </c>
      <c r="E363" s="117">
        <v>2523.675</v>
      </c>
      <c r="F363" s="117">
        <v>2692.86875</v>
      </c>
      <c r="G363" s="118">
        <v>2801.975</v>
      </c>
      <c r="H363" s="117">
        <v>2862.0625</v>
      </c>
      <c r="I363" s="117">
        <v>3020.1875</v>
      </c>
      <c r="J363" s="118">
        <v>3379.13125</v>
      </c>
      <c r="K363" s="117">
        <v>3848.7625</v>
      </c>
      <c r="L363" s="80">
        <v>4128.64375</v>
      </c>
      <c r="M363" s="80">
        <v>4297.8375</v>
      </c>
      <c r="N363" s="15"/>
    </row>
    <row r="364" ht="18.75" customHeight="1" spans="1:14">
      <c r="A364" s="89" t="s">
        <v>23</v>
      </c>
      <c r="B364" s="117">
        <v>7014.425</v>
      </c>
      <c r="C364" s="117">
        <v>7484.05625</v>
      </c>
      <c r="D364" s="118">
        <v>8228.825</v>
      </c>
      <c r="E364" s="117">
        <v>8772.775</v>
      </c>
      <c r="F364" s="117">
        <v>9481.175</v>
      </c>
      <c r="G364" s="118">
        <v>10429.925</v>
      </c>
      <c r="H364" s="117">
        <v>11377.09375</v>
      </c>
      <c r="I364" s="117">
        <v>11739.2</v>
      </c>
      <c r="J364" s="118">
        <v>12910.90625</v>
      </c>
      <c r="K364" s="117">
        <v>16274.225</v>
      </c>
      <c r="L364" s="80">
        <v>18293.48125</v>
      </c>
      <c r="M364" s="80">
        <v>19639.125</v>
      </c>
      <c r="N364" s="15"/>
    </row>
    <row r="365" ht="18.75" customHeight="1" spans="1:14">
      <c r="A365" s="89" t="s">
        <v>24</v>
      </c>
      <c r="B365" s="117">
        <v>6634.925</v>
      </c>
      <c r="C365" s="117">
        <v>7104.55625</v>
      </c>
      <c r="D365" s="118">
        <v>7849.325</v>
      </c>
      <c r="E365" s="117">
        <v>8393.275</v>
      </c>
      <c r="F365" s="117">
        <v>9101.675</v>
      </c>
      <c r="G365" s="118">
        <v>10050.425</v>
      </c>
      <c r="H365" s="117">
        <v>10997.59375</v>
      </c>
      <c r="I365" s="117">
        <v>11359.7</v>
      </c>
      <c r="J365" s="118">
        <v>12531.40625</v>
      </c>
      <c r="K365" s="117">
        <v>15894.725</v>
      </c>
      <c r="L365" s="80">
        <v>17913.98125</v>
      </c>
      <c r="M365" s="80">
        <v>19259.625</v>
      </c>
      <c r="N365" s="15"/>
    </row>
    <row r="366" ht="18.75" customHeight="1" spans="1:14">
      <c r="A366" s="89" t="s">
        <v>69</v>
      </c>
      <c r="B366" s="117">
        <v>8309.46875</v>
      </c>
      <c r="C366" s="117">
        <v>9100.09375</v>
      </c>
      <c r="D366" s="118">
        <v>9803.75</v>
      </c>
      <c r="E366" s="117">
        <v>10559.5875</v>
      </c>
      <c r="F366" s="117">
        <v>10988.10625</v>
      </c>
      <c r="G366" s="118">
        <v>11819.84375</v>
      </c>
      <c r="H366" s="117">
        <v>12349.5625</v>
      </c>
      <c r="I366" s="117">
        <v>13500.7125</v>
      </c>
      <c r="J366" s="118">
        <v>14977.6</v>
      </c>
      <c r="K366" s="117">
        <v>18548.0625</v>
      </c>
      <c r="L366" s="80">
        <v>20690.65625</v>
      </c>
      <c r="M366" s="80">
        <v>22118.525</v>
      </c>
      <c r="N366" s="15"/>
    </row>
    <row r="367" ht="18.75" customHeight="1" spans="1:14">
      <c r="A367" s="89" t="s">
        <v>27</v>
      </c>
      <c r="B367" s="117">
        <v>10964.3875</v>
      </c>
      <c r="C367" s="117">
        <v>11516.24375</v>
      </c>
      <c r="D367" s="118">
        <v>11954.25</v>
      </c>
      <c r="E367" s="117">
        <v>12648.41875</v>
      </c>
      <c r="F367" s="117">
        <v>13369.46875</v>
      </c>
      <c r="G367" s="118">
        <v>14474.7625</v>
      </c>
      <c r="H367" s="117">
        <v>15404.5375</v>
      </c>
      <c r="I367" s="117">
        <v>17463.325</v>
      </c>
      <c r="J367" s="118">
        <v>20614.75625</v>
      </c>
      <c r="K367" s="117">
        <v>24960.03125</v>
      </c>
      <c r="L367" s="80">
        <v>27567.5125</v>
      </c>
      <c r="M367" s="80">
        <v>29129.7875</v>
      </c>
      <c r="N367" s="15"/>
    </row>
    <row r="368" ht="18.75" customHeight="1" spans="1:14">
      <c r="A368" s="115" t="s">
        <v>70</v>
      </c>
      <c r="B368" s="117">
        <v>19575.875</v>
      </c>
      <c r="C368" s="117">
        <v>20243.1625</v>
      </c>
      <c r="D368" s="118">
        <v>20798.18125</v>
      </c>
      <c r="E368" s="117">
        <v>21425.9375</v>
      </c>
      <c r="F368" s="117">
        <v>22131.175</v>
      </c>
      <c r="G368" s="118">
        <v>23690.2875</v>
      </c>
      <c r="H368" s="117">
        <v>24541</v>
      </c>
      <c r="I368" s="117">
        <v>26378.4125</v>
      </c>
      <c r="J368" s="118">
        <v>29488.73125</v>
      </c>
      <c r="K368" s="117">
        <v>34895.025</v>
      </c>
      <c r="L368" s="80">
        <v>38138.16875</v>
      </c>
      <c r="M368" s="80">
        <v>40084.6875</v>
      </c>
      <c r="N368" s="15"/>
    </row>
    <row r="369" ht="18.75" customHeight="1" spans="1:14">
      <c r="A369" s="111" t="s">
        <v>32</v>
      </c>
      <c r="B369" s="117">
        <v>2270.675</v>
      </c>
      <c r="C369" s="117">
        <v>2314.95</v>
      </c>
      <c r="D369" s="118">
        <v>2466.75</v>
      </c>
      <c r="E369" s="117">
        <v>2713.425</v>
      </c>
      <c r="F369" s="117">
        <v>2901.59375</v>
      </c>
      <c r="G369" s="118">
        <v>3066.04375</v>
      </c>
      <c r="H369" s="117">
        <v>3312.71875</v>
      </c>
      <c r="I369" s="117">
        <v>3415.5</v>
      </c>
      <c r="J369" s="118">
        <v>3795</v>
      </c>
      <c r="K369" s="117">
        <v>4315.23125</v>
      </c>
      <c r="L369" s="80">
        <v>4626.7375</v>
      </c>
      <c r="M369" s="80">
        <v>4813.325</v>
      </c>
      <c r="N369" s="15"/>
    </row>
    <row r="370" ht="18.75" customHeight="1" spans="1:14">
      <c r="A370" s="89" t="s">
        <v>81</v>
      </c>
      <c r="B370" s="117">
        <v>6355.04375</v>
      </c>
      <c r="C370" s="117">
        <v>6623.85625</v>
      </c>
      <c r="D370" s="118">
        <v>6715.56875</v>
      </c>
      <c r="E370" s="117">
        <v>7012.84375</v>
      </c>
      <c r="F370" s="117">
        <v>7332.25625</v>
      </c>
      <c r="G370" s="118">
        <v>8100.74375</v>
      </c>
      <c r="H370" s="117">
        <v>8646.275</v>
      </c>
      <c r="I370" s="117">
        <v>9504.89375</v>
      </c>
      <c r="J370" s="118">
        <v>10635.4875</v>
      </c>
      <c r="K370" s="117">
        <v>13075.35625</v>
      </c>
      <c r="L370" s="80">
        <v>14541.175</v>
      </c>
      <c r="M370" s="80">
        <v>15418.76875</v>
      </c>
      <c r="N370" s="15"/>
    </row>
    <row r="371" ht="18.75" customHeight="1" spans="1:14">
      <c r="A371" s="89" t="s">
        <v>82</v>
      </c>
      <c r="B371" s="117">
        <v>8252.54375</v>
      </c>
      <c r="C371" s="117">
        <v>8521.35625</v>
      </c>
      <c r="D371" s="118">
        <v>8613.06875</v>
      </c>
      <c r="E371" s="117">
        <v>8910.34375</v>
      </c>
      <c r="F371" s="117">
        <v>9229.75625</v>
      </c>
      <c r="G371" s="118">
        <v>9998.24375</v>
      </c>
      <c r="H371" s="117">
        <v>10543.775</v>
      </c>
      <c r="I371" s="117">
        <v>11402.39375</v>
      </c>
      <c r="J371" s="118">
        <v>12532.9875</v>
      </c>
      <c r="K371" s="117">
        <v>14972.85625</v>
      </c>
      <c r="L371" s="80">
        <v>16438.675</v>
      </c>
      <c r="M371" s="80">
        <v>17316.26875</v>
      </c>
      <c r="N371" s="15"/>
    </row>
    <row r="372" ht="18.75" customHeight="1" spans="1:14">
      <c r="A372" s="89" t="s">
        <v>39</v>
      </c>
      <c r="B372" s="117">
        <v>5692.5</v>
      </c>
      <c r="C372" s="117">
        <v>6434.10625</v>
      </c>
      <c r="D372" s="118">
        <v>6525.81875</v>
      </c>
      <c r="E372" s="117">
        <v>6823.09375</v>
      </c>
      <c r="F372" s="117">
        <v>7142.50625</v>
      </c>
      <c r="G372" s="118">
        <v>7721.24375</v>
      </c>
      <c r="H372" s="117">
        <v>8077.025</v>
      </c>
      <c r="I372" s="117">
        <v>8745.89375</v>
      </c>
      <c r="J372" s="118">
        <v>9680.4125</v>
      </c>
      <c r="K372" s="117">
        <v>11936.85625</v>
      </c>
      <c r="L372" s="80">
        <v>13290.40625</v>
      </c>
      <c r="M372" s="80">
        <v>14101.5875</v>
      </c>
      <c r="N372" s="15"/>
    </row>
    <row r="373" ht="18.75" customHeight="1" spans="1:14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 ht="23.25" customHeight="1" spans="1:14">
      <c r="A374" s="82" t="s">
        <v>35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15"/>
    </row>
    <row r="375" ht="18.75" customHeight="1" spans="1:14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5" t="s">
        <v>52</v>
      </c>
      <c r="N375" s="15"/>
    </row>
    <row r="376" ht="18.75" customHeight="1" spans="1:14">
      <c r="A376" s="15"/>
      <c r="B376" s="94"/>
      <c r="C376" s="94"/>
      <c r="D376" s="94"/>
      <c r="E376" s="94"/>
      <c r="F376" s="94"/>
      <c r="G376" s="94"/>
      <c r="H376" s="94"/>
      <c r="I376" s="94"/>
      <c r="J376" s="94"/>
      <c r="N376" s="15"/>
    </row>
    <row r="377" ht="21" customHeight="1" spans="1:14">
      <c r="A377" s="96" t="s">
        <v>91</v>
      </c>
      <c r="N377" s="15"/>
    </row>
    <row r="378" ht="21" customHeight="1" spans="1:14">
      <c r="A378" s="96" t="s">
        <v>90</v>
      </c>
      <c r="K378" s="15"/>
      <c r="L378" s="15"/>
      <c r="M378" s="15"/>
      <c r="N378" s="15"/>
    </row>
    <row r="379" ht="21" customHeight="1" spans="1:14">
      <c r="A379" s="97" t="s">
        <v>126</v>
      </c>
      <c r="J379" s="91"/>
      <c r="K379" s="91"/>
      <c r="L379" s="91"/>
      <c r="M379" s="91"/>
      <c r="N379" s="15"/>
    </row>
    <row r="380" ht="28.5" customHeight="1" spans="1:14">
      <c r="A380" s="98"/>
      <c r="B380" s="99" t="s">
        <v>56</v>
      </c>
      <c r="C380" s="86" t="s">
        <v>57</v>
      </c>
      <c r="D380" s="86" t="s">
        <v>58</v>
      </c>
      <c r="E380" s="86" t="s">
        <v>59</v>
      </c>
      <c r="F380" s="86" t="s">
        <v>60</v>
      </c>
      <c r="G380" s="86" t="s">
        <v>61</v>
      </c>
      <c r="H380" s="86" t="s">
        <v>62</v>
      </c>
      <c r="I380" s="86" t="s">
        <v>63</v>
      </c>
      <c r="J380" s="86" t="s">
        <v>64</v>
      </c>
      <c r="K380" s="86" t="s">
        <v>65</v>
      </c>
      <c r="L380" s="86" t="s">
        <v>66</v>
      </c>
      <c r="M380" s="86" t="s">
        <v>67</v>
      </c>
      <c r="N380" s="15"/>
    </row>
    <row r="381" ht="18.75" customHeight="1" spans="1:14">
      <c r="A381" s="111" t="s">
        <v>68</v>
      </c>
      <c r="B381" s="117">
        <v>6274.4</v>
      </c>
      <c r="C381" s="117">
        <v>6378.7625</v>
      </c>
      <c r="D381" s="118">
        <v>6838.90625</v>
      </c>
      <c r="E381" s="117">
        <v>7390.7625</v>
      </c>
      <c r="F381" s="117">
        <v>7969.5</v>
      </c>
      <c r="G381" s="118">
        <v>8311.05</v>
      </c>
      <c r="H381" s="117">
        <v>8717.43125</v>
      </c>
      <c r="I381" s="117">
        <v>9563.4</v>
      </c>
      <c r="J381" s="118">
        <v>10474.2</v>
      </c>
      <c r="K381" s="117">
        <v>12751.2</v>
      </c>
      <c r="L381" s="117">
        <v>14117.4</v>
      </c>
      <c r="M381" s="117">
        <v>15028.2</v>
      </c>
      <c r="N381" s="15"/>
    </row>
    <row r="382" ht="18.75" customHeight="1" spans="1:14">
      <c r="A382" s="111" t="s">
        <v>18</v>
      </c>
      <c r="B382" s="117">
        <v>5143.80625</v>
      </c>
      <c r="C382" s="117">
        <v>5534.375</v>
      </c>
      <c r="D382" s="118">
        <v>6008.75</v>
      </c>
      <c r="E382" s="117">
        <v>6429.3625</v>
      </c>
      <c r="F382" s="117">
        <v>6810.44375</v>
      </c>
      <c r="G382" s="118">
        <v>7136.18125</v>
      </c>
      <c r="H382" s="117">
        <v>7544.14375</v>
      </c>
      <c r="I382" s="117">
        <v>8617.8125</v>
      </c>
      <c r="J382" s="118">
        <v>8870.8125</v>
      </c>
      <c r="K382" s="117">
        <v>10929.6</v>
      </c>
      <c r="L382" s="117">
        <v>11886.25625</v>
      </c>
      <c r="M382" s="117">
        <v>12578.84375</v>
      </c>
      <c r="N382" s="15"/>
    </row>
    <row r="383" ht="18.75" customHeight="1" spans="1:14">
      <c r="A383" s="111" t="s">
        <v>19</v>
      </c>
      <c r="B383" s="117">
        <v>4006.8875</v>
      </c>
      <c r="C383" s="117">
        <v>4345.275</v>
      </c>
      <c r="D383" s="118">
        <v>4735.84375</v>
      </c>
      <c r="E383" s="117">
        <v>5091.625</v>
      </c>
      <c r="F383" s="117">
        <v>5575.4875</v>
      </c>
      <c r="G383" s="118">
        <v>5920.2</v>
      </c>
      <c r="H383" s="117">
        <v>6155.80625</v>
      </c>
      <c r="I383" s="117">
        <v>6685.525</v>
      </c>
      <c r="J383" s="118">
        <v>7286.4</v>
      </c>
      <c r="K383" s="117">
        <v>8880.3</v>
      </c>
      <c r="L383" s="117">
        <v>9836.95625</v>
      </c>
      <c r="M383" s="117">
        <v>10474.2</v>
      </c>
      <c r="N383" s="15"/>
    </row>
    <row r="384" ht="18.75" customHeight="1" spans="1:14">
      <c r="A384" s="111" t="s">
        <v>20</v>
      </c>
      <c r="B384" s="117">
        <v>3326.95</v>
      </c>
      <c r="C384" s="117">
        <v>3630.55</v>
      </c>
      <c r="D384" s="118">
        <v>3972.1</v>
      </c>
      <c r="E384" s="117">
        <v>4289.93125</v>
      </c>
      <c r="F384" s="117">
        <v>4621.99375</v>
      </c>
      <c r="G384" s="118">
        <v>4781.7</v>
      </c>
      <c r="H384" s="117">
        <v>5028.375</v>
      </c>
      <c r="I384" s="117">
        <v>5385.7375</v>
      </c>
      <c r="J384" s="118">
        <v>5920.2</v>
      </c>
      <c r="K384" s="117">
        <v>7131.4375</v>
      </c>
      <c r="L384" s="117">
        <v>7857.23125</v>
      </c>
      <c r="M384" s="117">
        <v>8342.675</v>
      </c>
      <c r="N384" s="15"/>
    </row>
    <row r="385" ht="18.75" customHeight="1" spans="1:14">
      <c r="A385" s="111" t="s">
        <v>21</v>
      </c>
      <c r="B385" s="117">
        <v>3156.175</v>
      </c>
      <c r="C385" s="117">
        <v>3195.70625</v>
      </c>
      <c r="D385" s="118">
        <v>3331.69375</v>
      </c>
      <c r="E385" s="117">
        <v>3428.15</v>
      </c>
      <c r="F385" s="117">
        <v>3684.3125</v>
      </c>
      <c r="G385" s="118">
        <v>3862.99375</v>
      </c>
      <c r="H385" s="117">
        <v>3940.475</v>
      </c>
      <c r="I385" s="117">
        <v>4196.6375</v>
      </c>
      <c r="J385" s="118">
        <v>4751.65625</v>
      </c>
      <c r="K385" s="117">
        <v>5467.9625</v>
      </c>
      <c r="L385" s="117">
        <v>5899.64375</v>
      </c>
      <c r="M385" s="117">
        <v>6185.85</v>
      </c>
      <c r="N385" s="15"/>
    </row>
    <row r="386" ht="18.75" customHeight="1" spans="1:14">
      <c r="A386" s="111" t="s">
        <v>22</v>
      </c>
      <c r="B386" s="117">
        <v>2406.6625</v>
      </c>
      <c r="C386" s="117">
        <v>2428.8</v>
      </c>
      <c r="D386" s="118">
        <v>2507.8625</v>
      </c>
      <c r="E386" s="117">
        <v>2569.53125</v>
      </c>
      <c r="F386" s="117">
        <v>2716.5875</v>
      </c>
      <c r="G386" s="118">
        <v>2843.0875</v>
      </c>
      <c r="H386" s="117">
        <v>2887.3625</v>
      </c>
      <c r="I386" s="117">
        <v>3236.81875</v>
      </c>
      <c r="J386" s="118">
        <v>3587.85625</v>
      </c>
      <c r="K386" s="117">
        <v>4030.60625</v>
      </c>
      <c r="L386" s="117">
        <v>4296.25625</v>
      </c>
      <c r="M386" s="117">
        <v>4471.775</v>
      </c>
      <c r="N386" s="15"/>
    </row>
    <row r="387" ht="18.75" customHeight="1" spans="1:14">
      <c r="A387" s="111" t="s">
        <v>23</v>
      </c>
      <c r="B387" s="117">
        <v>7099.8125</v>
      </c>
      <c r="C387" s="117">
        <v>7676.96875</v>
      </c>
      <c r="D387" s="118">
        <v>8029.5875</v>
      </c>
      <c r="E387" s="117">
        <v>8861.325</v>
      </c>
      <c r="F387" s="117">
        <v>9440.0625</v>
      </c>
      <c r="G387" s="118">
        <v>10037.775</v>
      </c>
      <c r="H387" s="117">
        <v>10607.025</v>
      </c>
      <c r="I387" s="117">
        <v>11895.74375</v>
      </c>
      <c r="J387" s="118">
        <v>13209.7625</v>
      </c>
      <c r="K387" s="117">
        <v>16566.75625</v>
      </c>
      <c r="L387" s="117">
        <v>18261.85625</v>
      </c>
      <c r="M387" s="117">
        <v>19129.9625</v>
      </c>
      <c r="N387" s="15"/>
    </row>
    <row r="388" ht="18.75" customHeight="1" spans="1:14">
      <c r="A388" s="111" t="s">
        <v>24</v>
      </c>
      <c r="B388" s="117">
        <v>6644.4125</v>
      </c>
      <c r="C388" s="117">
        <v>7221.56875</v>
      </c>
      <c r="D388" s="118">
        <v>7574.1875</v>
      </c>
      <c r="E388" s="117">
        <v>8405.925</v>
      </c>
      <c r="F388" s="117">
        <v>8984.6625</v>
      </c>
      <c r="G388" s="118">
        <v>9582.375</v>
      </c>
      <c r="H388" s="117">
        <v>10151.625</v>
      </c>
      <c r="I388" s="117">
        <v>11440.34375</v>
      </c>
      <c r="J388" s="118">
        <v>12754.3625</v>
      </c>
      <c r="K388" s="117">
        <v>16111.35625</v>
      </c>
      <c r="L388" s="117">
        <v>17806.45625</v>
      </c>
      <c r="M388" s="117">
        <v>18674.5625</v>
      </c>
      <c r="N388" s="15"/>
    </row>
    <row r="389" ht="18.75" customHeight="1" spans="1:14">
      <c r="A389" s="111" t="s">
        <v>44</v>
      </c>
      <c r="B389" s="117">
        <v>8516.6125</v>
      </c>
      <c r="C389" s="117">
        <v>9089.025</v>
      </c>
      <c r="D389" s="118">
        <v>9829.05</v>
      </c>
      <c r="E389" s="117">
        <v>11062.425</v>
      </c>
      <c r="F389" s="117">
        <v>11198.4125</v>
      </c>
      <c r="G389" s="118">
        <v>11954.25</v>
      </c>
      <c r="H389" s="117">
        <v>12626.28125</v>
      </c>
      <c r="I389" s="117">
        <v>14041.5</v>
      </c>
      <c r="J389" s="118">
        <v>14964.95</v>
      </c>
      <c r="K389" s="117">
        <v>18729.90625</v>
      </c>
      <c r="L389" s="117">
        <v>20817.15625</v>
      </c>
      <c r="M389" s="117">
        <v>22210.2375</v>
      </c>
      <c r="N389" s="15"/>
    </row>
    <row r="390" ht="18.75" customHeight="1" spans="1:14">
      <c r="A390" s="111" t="s">
        <v>45</v>
      </c>
      <c r="B390" s="117">
        <v>11511.5</v>
      </c>
      <c r="C390" s="117">
        <v>12099.725</v>
      </c>
      <c r="D390" s="118">
        <v>12645.25625</v>
      </c>
      <c r="E390" s="117">
        <v>13546.56875</v>
      </c>
      <c r="F390" s="117">
        <v>14253.3875</v>
      </c>
      <c r="G390" s="118">
        <v>15809.3375</v>
      </c>
      <c r="H390" s="117">
        <v>17524.99375</v>
      </c>
      <c r="I390" s="117">
        <v>19307.0625</v>
      </c>
      <c r="J390" s="118">
        <v>22140.6625</v>
      </c>
      <c r="K390" s="117">
        <v>26147.55</v>
      </c>
      <c r="L390" s="117">
        <v>28551.05</v>
      </c>
      <c r="M390" s="117">
        <v>29996.3125</v>
      </c>
      <c r="N390" s="15"/>
    </row>
    <row r="391" ht="18.75" customHeight="1" spans="1:14">
      <c r="A391" s="115" t="s">
        <v>46</v>
      </c>
      <c r="B391" s="117">
        <v>20826.64375</v>
      </c>
      <c r="C391" s="117">
        <v>21527.1375</v>
      </c>
      <c r="D391" s="118">
        <v>22128.0125</v>
      </c>
      <c r="E391" s="117">
        <v>22795.3</v>
      </c>
      <c r="F391" s="117">
        <v>23536.90625</v>
      </c>
      <c r="G391" s="118">
        <v>25173.5</v>
      </c>
      <c r="H391" s="117">
        <v>26059</v>
      </c>
      <c r="I391" s="117">
        <v>27961.24375</v>
      </c>
      <c r="J391" s="118">
        <v>31425.7625</v>
      </c>
      <c r="K391" s="117">
        <v>37387.075</v>
      </c>
      <c r="L391" s="117">
        <v>40960.7</v>
      </c>
      <c r="M391" s="117">
        <v>43446.425</v>
      </c>
      <c r="N391" s="15"/>
    </row>
    <row r="392" ht="18.75" customHeight="1" spans="1:14">
      <c r="A392" s="111" t="s">
        <v>32</v>
      </c>
      <c r="B392" s="117">
        <v>2496.79375</v>
      </c>
      <c r="C392" s="117">
        <v>2550.55625</v>
      </c>
      <c r="D392" s="118">
        <v>2732.4</v>
      </c>
      <c r="E392" s="117">
        <v>3028.09375</v>
      </c>
      <c r="F392" s="117">
        <v>3254.2125</v>
      </c>
      <c r="G392" s="118">
        <v>3451.86875</v>
      </c>
      <c r="H392" s="117">
        <v>3747.5625</v>
      </c>
      <c r="I392" s="117">
        <v>3870.9</v>
      </c>
      <c r="J392" s="118">
        <v>4326.3</v>
      </c>
      <c r="K392" s="117">
        <v>4950.89375</v>
      </c>
      <c r="L392" s="117">
        <v>5324.06875</v>
      </c>
      <c r="M392" s="117">
        <v>5548.60625</v>
      </c>
      <c r="N392" s="15"/>
    </row>
    <row r="393" ht="18.75" customHeight="1" spans="1:14">
      <c r="A393" s="111" t="s">
        <v>72</v>
      </c>
      <c r="B393" s="117">
        <v>6993.86875</v>
      </c>
      <c r="C393" s="117">
        <v>7210.5</v>
      </c>
      <c r="D393" s="118">
        <v>7311.7</v>
      </c>
      <c r="E393" s="117">
        <v>7593.1625</v>
      </c>
      <c r="F393" s="117">
        <v>7846.1625</v>
      </c>
      <c r="G393" s="118">
        <v>8450.2</v>
      </c>
      <c r="H393" s="117">
        <v>8730.08125</v>
      </c>
      <c r="I393" s="117">
        <v>9345.1875</v>
      </c>
      <c r="J393" s="118">
        <v>10483.6875</v>
      </c>
      <c r="K393" s="117">
        <v>12646.8375</v>
      </c>
      <c r="L393" s="117">
        <v>13945.04375</v>
      </c>
      <c r="M393" s="117">
        <v>14723.01875</v>
      </c>
      <c r="N393" s="15"/>
    </row>
    <row r="394" ht="18.75" customHeight="1" spans="1:14">
      <c r="A394" s="111" t="s">
        <v>73</v>
      </c>
      <c r="B394" s="117">
        <v>2835.18125</v>
      </c>
      <c r="C394" s="117">
        <v>2952.19375</v>
      </c>
      <c r="D394" s="118">
        <v>3162.5</v>
      </c>
      <c r="E394" s="117">
        <v>3336.4375</v>
      </c>
      <c r="F394" s="117">
        <v>3461.35625</v>
      </c>
      <c r="G394" s="118">
        <v>3880.3875</v>
      </c>
      <c r="H394" s="117">
        <v>4153.94375</v>
      </c>
      <c r="I394" s="117">
        <v>4837.04375</v>
      </c>
      <c r="J394" s="118">
        <v>5246.5875</v>
      </c>
      <c r="K394" s="117">
        <v>6434.10625</v>
      </c>
      <c r="L394" s="117">
        <v>7147.25</v>
      </c>
      <c r="M394" s="117">
        <v>7574.1875</v>
      </c>
      <c r="N394" s="15"/>
    </row>
    <row r="395" ht="18.75" customHeight="1" spans="1:14">
      <c r="A395" s="111" t="s">
        <v>74</v>
      </c>
      <c r="B395" s="117">
        <v>3578.36875</v>
      </c>
      <c r="C395" s="117">
        <v>3757.05</v>
      </c>
      <c r="D395" s="118">
        <v>4006.8875</v>
      </c>
      <c r="E395" s="117">
        <v>4152.3625</v>
      </c>
      <c r="F395" s="117">
        <v>4373.7375</v>
      </c>
      <c r="G395" s="118">
        <v>5093.20625</v>
      </c>
      <c r="H395" s="117">
        <v>5434.75625</v>
      </c>
      <c r="I395" s="117">
        <v>6032.46875</v>
      </c>
      <c r="J395" s="118">
        <v>6726.6375</v>
      </c>
      <c r="K395" s="117">
        <v>8073.8625</v>
      </c>
      <c r="L395" s="117">
        <v>8881.88125</v>
      </c>
      <c r="M395" s="117">
        <v>9367.325</v>
      </c>
      <c r="N395" s="15"/>
    </row>
    <row r="396" ht="18.75" customHeight="1" spans="1:14">
      <c r="A396" s="111" t="s">
        <v>77</v>
      </c>
      <c r="B396" s="117">
        <v>4724.775</v>
      </c>
      <c r="C396" s="117">
        <v>4849.69375</v>
      </c>
      <c r="D396" s="118">
        <v>5245.00625</v>
      </c>
      <c r="E396" s="117">
        <v>5692.5</v>
      </c>
      <c r="F396" s="117">
        <v>6034.05</v>
      </c>
      <c r="G396" s="118">
        <v>6473.6375</v>
      </c>
      <c r="H396" s="117">
        <v>6929.0375</v>
      </c>
      <c r="I396" s="117">
        <v>7626.36875</v>
      </c>
      <c r="J396" s="118">
        <v>8402.7625</v>
      </c>
      <c r="K396" s="117">
        <v>8994.15</v>
      </c>
      <c r="L396" s="117">
        <v>9076.375</v>
      </c>
      <c r="M396" s="117">
        <v>9130.1375</v>
      </c>
      <c r="N396" s="15"/>
    </row>
    <row r="397" ht="18.75" customHeight="1" spans="1:14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 ht="23.25" customHeight="1" spans="1:14">
      <c r="A398" s="82" t="s">
        <v>35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15"/>
    </row>
    <row r="399" ht="18.75" customHeight="1" spans="1:14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5" t="s">
        <v>52</v>
      </c>
      <c r="N399" s="15"/>
    </row>
    <row r="400" ht="18.75" customHeight="1" spans="1:14">
      <c r="A400" s="15"/>
      <c r="B400" s="94"/>
      <c r="C400" s="94"/>
      <c r="D400" s="94"/>
      <c r="E400" s="94"/>
      <c r="F400" s="94"/>
      <c r="G400" s="94"/>
      <c r="H400" s="94"/>
      <c r="I400" s="94"/>
      <c r="J400" s="94"/>
      <c r="N400" s="15"/>
    </row>
    <row r="401" ht="21" customHeight="1" spans="1:14">
      <c r="A401" s="96" t="s">
        <v>92</v>
      </c>
      <c r="N401" s="15"/>
    </row>
    <row r="402" ht="21" customHeight="1" spans="1:14">
      <c r="A402" s="96" t="s">
        <v>90</v>
      </c>
      <c r="K402" s="15"/>
      <c r="L402" s="15"/>
      <c r="M402" s="15"/>
      <c r="N402" s="15"/>
    </row>
    <row r="403" ht="21" customHeight="1" spans="1:14">
      <c r="A403" s="97" t="s">
        <v>126</v>
      </c>
      <c r="J403" s="91"/>
      <c r="K403" s="91"/>
      <c r="L403" s="91"/>
      <c r="M403" s="91"/>
      <c r="N403" s="15"/>
    </row>
    <row r="404" ht="28.5" customHeight="1" spans="1:14">
      <c r="A404" s="98"/>
      <c r="B404" s="99" t="s">
        <v>56</v>
      </c>
      <c r="C404" s="86" t="s">
        <v>57</v>
      </c>
      <c r="D404" s="86" t="s">
        <v>58</v>
      </c>
      <c r="E404" s="86" t="s">
        <v>59</v>
      </c>
      <c r="F404" s="86" t="s">
        <v>60</v>
      </c>
      <c r="G404" s="86" t="s">
        <v>61</v>
      </c>
      <c r="H404" s="86" t="s">
        <v>62</v>
      </c>
      <c r="I404" s="86" t="s">
        <v>63</v>
      </c>
      <c r="J404" s="86" t="s">
        <v>64</v>
      </c>
      <c r="K404" s="86" t="s">
        <v>65</v>
      </c>
      <c r="L404" s="86" t="s">
        <v>66</v>
      </c>
      <c r="M404" s="86" t="s">
        <v>67</v>
      </c>
      <c r="N404" s="15"/>
    </row>
    <row r="405" ht="18.75" customHeight="1" spans="1:14">
      <c r="A405" s="111" t="s">
        <v>93</v>
      </c>
      <c r="B405" s="117">
        <v>7270.5875</v>
      </c>
      <c r="C405" s="117">
        <v>7912.575</v>
      </c>
      <c r="D405" s="118">
        <v>8424.9</v>
      </c>
      <c r="E405" s="117">
        <v>9130.1375</v>
      </c>
      <c r="F405" s="117">
        <v>9685.15625</v>
      </c>
      <c r="G405" s="118">
        <v>10107.35</v>
      </c>
      <c r="H405" s="117">
        <v>11081.4</v>
      </c>
      <c r="I405" s="117">
        <v>12102.8875</v>
      </c>
      <c r="J405" s="118">
        <v>13013.6875</v>
      </c>
      <c r="K405" s="117">
        <v>16622.1</v>
      </c>
      <c r="L405" s="80">
        <v>18216</v>
      </c>
      <c r="M405" s="80">
        <v>19582.2</v>
      </c>
      <c r="N405" s="15"/>
    </row>
    <row r="406" ht="18.75" customHeight="1" spans="1:14">
      <c r="A406" s="111" t="s">
        <v>18</v>
      </c>
      <c r="B406" s="117">
        <v>6272.81875</v>
      </c>
      <c r="C406" s="117">
        <v>6691.85</v>
      </c>
      <c r="D406" s="118">
        <v>7286.4</v>
      </c>
      <c r="E406" s="117">
        <v>7721.24375</v>
      </c>
      <c r="F406" s="117">
        <v>8197.2</v>
      </c>
      <c r="G406" s="118">
        <v>8409.0875</v>
      </c>
      <c r="H406" s="117">
        <v>9541.2625</v>
      </c>
      <c r="I406" s="117">
        <v>10589.63125</v>
      </c>
      <c r="J406" s="118">
        <v>10929.6</v>
      </c>
      <c r="K406" s="117">
        <v>14117.4</v>
      </c>
      <c r="L406" s="80">
        <v>15483.6</v>
      </c>
      <c r="M406" s="80">
        <v>16735.95</v>
      </c>
      <c r="N406" s="15"/>
    </row>
    <row r="407" ht="18.75" customHeight="1" spans="1:14">
      <c r="A407" s="111" t="s">
        <v>19</v>
      </c>
      <c r="B407" s="117">
        <v>5120.0875</v>
      </c>
      <c r="C407" s="117">
        <v>5474.2875</v>
      </c>
      <c r="D407" s="118">
        <v>5920.2</v>
      </c>
      <c r="E407" s="117">
        <v>6309.1875</v>
      </c>
      <c r="F407" s="117">
        <v>6698.175</v>
      </c>
      <c r="G407" s="118">
        <v>7397.0875</v>
      </c>
      <c r="H407" s="117">
        <v>7768.68125</v>
      </c>
      <c r="I407" s="117">
        <v>8620.975</v>
      </c>
      <c r="J407" s="118">
        <v>9108</v>
      </c>
      <c r="K407" s="117">
        <v>11682.275</v>
      </c>
      <c r="L407" s="80">
        <v>12890.35</v>
      </c>
      <c r="M407" s="80">
        <v>13693.625</v>
      </c>
      <c r="N407" s="15"/>
    </row>
    <row r="408" ht="18.75" customHeight="1" spans="1:14">
      <c r="A408" s="111" t="s">
        <v>20</v>
      </c>
      <c r="B408" s="117">
        <v>4671.0125</v>
      </c>
      <c r="C408" s="117">
        <v>4781.7</v>
      </c>
      <c r="D408" s="118">
        <v>5053.675</v>
      </c>
      <c r="E408" s="117">
        <v>5240.2625</v>
      </c>
      <c r="F408" s="117">
        <v>5738.35625</v>
      </c>
      <c r="G408" s="118">
        <v>5980.2875</v>
      </c>
      <c r="H408" s="117">
        <v>6157.3875</v>
      </c>
      <c r="I408" s="117">
        <v>6633.34375</v>
      </c>
      <c r="J408" s="118">
        <v>7605.8125</v>
      </c>
      <c r="K408" s="117">
        <v>8915.0875</v>
      </c>
      <c r="L408" s="80">
        <v>9699.3875</v>
      </c>
      <c r="M408" s="80">
        <v>10170.6</v>
      </c>
      <c r="N408" s="15"/>
    </row>
    <row r="409" ht="18.75" customHeight="1" spans="1:14">
      <c r="A409" s="111" t="s">
        <v>21</v>
      </c>
      <c r="B409" s="117">
        <v>3715.9375</v>
      </c>
      <c r="C409" s="117">
        <v>3795</v>
      </c>
      <c r="D409" s="118">
        <v>3987.9125</v>
      </c>
      <c r="E409" s="117">
        <v>4123.9</v>
      </c>
      <c r="F409" s="117">
        <v>4478.1</v>
      </c>
      <c r="G409" s="118">
        <v>4667.85</v>
      </c>
      <c r="H409" s="117">
        <v>4792.76875</v>
      </c>
      <c r="I409" s="117">
        <v>5132.7375</v>
      </c>
      <c r="J409" s="118">
        <v>5841.1375</v>
      </c>
      <c r="K409" s="117">
        <v>6793.05</v>
      </c>
      <c r="L409" s="80">
        <v>7363.88125</v>
      </c>
      <c r="M409" s="80">
        <v>7705.43125</v>
      </c>
      <c r="N409" s="15"/>
    </row>
    <row r="410" ht="18.75" customHeight="1" spans="1:14">
      <c r="A410" s="111" t="s">
        <v>22</v>
      </c>
      <c r="B410" s="117">
        <v>2800.39375</v>
      </c>
      <c r="C410" s="117">
        <v>2844.66875</v>
      </c>
      <c r="D410" s="118">
        <v>2952.19375</v>
      </c>
      <c r="E410" s="117">
        <v>3028.09375</v>
      </c>
      <c r="F410" s="117">
        <v>3232.075</v>
      </c>
      <c r="G410" s="118">
        <v>3361.7375</v>
      </c>
      <c r="H410" s="117">
        <v>3434.475</v>
      </c>
      <c r="I410" s="117">
        <v>3624.225</v>
      </c>
      <c r="J410" s="118">
        <v>4054.325</v>
      </c>
      <c r="K410" s="117">
        <v>4618.83125</v>
      </c>
      <c r="L410" s="80">
        <v>4954.05625</v>
      </c>
      <c r="M410" s="80">
        <v>5158.0375</v>
      </c>
      <c r="N410" s="15"/>
    </row>
    <row r="411" ht="18.75" customHeight="1" spans="1:14">
      <c r="A411" s="111" t="s">
        <v>94</v>
      </c>
      <c r="B411" s="117">
        <v>8416.99375</v>
      </c>
      <c r="C411" s="117">
        <v>8981.5</v>
      </c>
      <c r="D411" s="118">
        <v>9874.90625</v>
      </c>
      <c r="E411" s="117">
        <v>10527.9625</v>
      </c>
      <c r="F411" s="117">
        <v>11377.09375</v>
      </c>
      <c r="G411" s="118">
        <v>12515.59375</v>
      </c>
      <c r="H411" s="117">
        <v>13652.5125</v>
      </c>
      <c r="I411" s="117">
        <v>14087.35625</v>
      </c>
      <c r="J411" s="118">
        <v>15493.0875</v>
      </c>
      <c r="K411" s="117">
        <v>19528.4375</v>
      </c>
      <c r="L411" s="80">
        <v>21952.49375</v>
      </c>
      <c r="M411" s="80">
        <v>23566.95</v>
      </c>
      <c r="N411" s="15"/>
    </row>
    <row r="412" ht="18.75" customHeight="1" spans="1:14">
      <c r="A412" s="111" t="s">
        <v>95</v>
      </c>
      <c r="B412" s="117">
        <v>7961.59375</v>
      </c>
      <c r="C412" s="117">
        <v>8526.1</v>
      </c>
      <c r="D412" s="118">
        <v>9419.50625</v>
      </c>
      <c r="E412" s="117">
        <v>10072.5625</v>
      </c>
      <c r="F412" s="117">
        <v>10921.69375</v>
      </c>
      <c r="G412" s="118">
        <v>12060.19375</v>
      </c>
      <c r="H412" s="117">
        <v>13197.1125</v>
      </c>
      <c r="I412" s="117">
        <v>13631.95625</v>
      </c>
      <c r="J412" s="118">
        <v>15037.6875</v>
      </c>
      <c r="K412" s="117">
        <v>19073.0375</v>
      </c>
      <c r="L412" s="80">
        <v>21497.09375</v>
      </c>
      <c r="M412" s="80">
        <v>23111.55</v>
      </c>
      <c r="N412" s="15"/>
    </row>
    <row r="413" ht="18.75" customHeight="1" spans="1:14">
      <c r="A413" s="111" t="s">
        <v>44</v>
      </c>
      <c r="B413" s="117">
        <v>9971.3625</v>
      </c>
      <c r="C413" s="117">
        <v>10920.1125</v>
      </c>
      <c r="D413" s="118">
        <v>11764.5</v>
      </c>
      <c r="E413" s="117">
        <v>12676.88125</v>
      </c>
      <c r="F413" s="117">
        <v>13186.04375</v>
      </c>
      <c r="G413" s="118">
        <v>14183.8125</v>
      </c>
      <c r="H413" s="117">
        <v>14819.475</v>
      </c>
      <c r="I413" s="117">
        <v>16201.4875</v>
      </c>
      <c r="J413" s="118">
        <v>17972.4875</v>
      </c>
      <c r="K413" s="117">
        <v>22257.675</v>
      </c>
      <c r="L413" s="80">
        <v>24828.7875</v>
      </c>
      <c r="M413" s="80">
        <v>26542.8625</v>
      </c>
      <c r="N413" s="15"/>
    </row>
    <row r="414" ht="18.75" customHeight="1" spans="1:14">
      <c r="A414" s="111" t="s">
        <v>45</v>
      </c>
      <c r="B414" s="117">
        <v>13157.58125</v>
      </c>
      <c r="C414" s="117">
        <v>13820.125</v>
      </c>
      <c r="D414" s="118">
        <v>14345.1</v>
      </c>
      <c r="E414" s="117">
        <v>15178.41875</v>
      </c>
      <c r="F414" s="117">
        <v>16043.3625</v>
      </c>
      <c r="G414" s="118">
        <v>17370.03125</v>
      </c>
      <c r="H414" s="117">
        <v>18484.8125</v>
      </c>
      <c r="I414" s="117">
        <v>20956.30625</v>
      </c>
      <c r="J414" s="118">
        <v>24737.075</v>
      </c>
      <c r="K414" s="117">
        <v>29952.0375</v>
      </c>
      <c r="L414" s="80">
        <v>33081.33125</v>
      </c>
      <c r="M414" s="80">
        <v>34958.275</v>
      </c>
      <c r="N414" s="15"/>
    </row>
    <row r="415" ht="18.75" customHeight="1" spans="1:14">
      <c r="A415" s="115" t="s">
        <v>70</v>
      </c>
      <c r="B415" s="117">
        <v>23491.05</v>
      </c>
      <c r="C415" s="117">
        <v>24291.1625</v>
      </c>
      <c r="D415" s="118">
        <v>24958.45</v>
      </c>
      <c r="E415" s="117">
        <v>25711.125</v>
      </c>
      <c r="F415" s="117">
        <v>26557.09375</v>
      </c>
      <c r="G415" s="118">
        <v>28427.7125</v>
      </c>
      <c r="H415" s="117">
        <v>29449.2</v>
      </c>
      <c r="I415" s="117">
        <v>31653.4625</v>
      </c>
      <c r="J415" s="118">
        <v>35386.79375</v>
      </c>
      <c r="K415" s="117">
        <v>41874.6625</v>
      </c>
      <c r="L415" s="80">
        <v>45766.11875</v>
      </c>
      <c r="M415" s="80">
        <v>48101.625</v>
      </c>
      <c r="N415" s="15"/>
    </row>
    <row r="416" ht="18.75" customHeight="1" spans="1:14">
      <c r="A416" s="111" t="s">
        <v>32</v>
      </c>
      <c r="B416" s="117">
        <v>2724.49375</v>
      </c>
      <c r="C416" s="117">
        <v>2778.25625</v>
      </c>
      <c r="D416" s="118">
        <v>2960.1</v>
      </c>
      <c r="E416" s="117">
        <v>3255.79375</v>
      </c>
      <c r="F416" s="117">
        <v>3481.9125</v>
      </c>
      <c r="G416" s="118">
        <v>3679.56875</v>
      </c>
      <c r="H416" s="117">
        <v>3975.2625</v>
      </c>
      <c r="I416" s="117">
        <v>4098.6</v>
      </c>
      <c r="J416" s="118">
        <v>4554</v>
      </c>
      <c r="K416" s="117">
        <v>5178.59375</v>
      </c>
      <c r="L416" s="80">
        <v>5551.76875</v>
      </c>
      <c r="M416" s="80">
        <v>5776.30625</v>
      </c>
      <c r="N416" s="15"/>
    </row>
    <row r="417" ht="18.75" customHeight="1" spans="1:14">
      <c r="A417" s="89" t="s">
        <v>81</v>
      </c>
      <c r="B417" s="117">
        <v>7626.36875</v>
      </c>
      <c r="C417" s="117">
        <v>7948.94375</v>
      </c>
      <c r="D417" s="118">
        <v>8058.05</v>
      </c>
      <c r="E417" s="117">
        <v>8415.4125</v>
      </c>
      <c r="F417" s="117">
        <v>8798.075</v>
      </c>
      <c r="G417" s="118">
        <v>9721.525</v>
      </c>
      <c r="H417" s="117">
        <v>9901.7875</v>
      </c>
      <c r="I417" s="117">
        <v>11405.55625</v>
      </c>
      <c r="J417" s="118">
        <v>12762.26875</v>
      </c>
      <c r="K417" s="117">
        <v>15690.74375</v>
      </c>
      <c r="L417" s="80">
        <v>17447.5125</v>
      </c>
      <c r="M417" s="80">
        <v>18502.20625</v>
      </c>
      <c r="N417" s="15"/>
    </row>
    <row r="418" ht="18.75" customHeight="1" spans="1:14">
      <c r="A418" s="89" t="s">
        <v>96</v>
      </c>
      <c r="B418" s="117">
        <v>9903.36875</v>
      </c>
      <c r="C418" s="117">
        <v>10225.94375</v>
      </c>
      <c r="D418" s="118">
        <v>10335.05</v>
      </c>
      <c r="E418" s="117">
        <v>10692.4125</v>
      </c>
      <c r="F418" s="117">
        <v>11075.075</v>
      </c>
      <c r="G418" s="118">
        <v>11998.525</v>
      </c>
      <c r="H418" s="117">
        <v>12653.1625</v>
      </c>
      <c r="I418" s="117">
        <v>13682.55625</v>
      </c>
      <c r="J418" s="118">
        <v>15039.26875</v>
      </c>
      <c r="K418" s="117">
        <v>17967.74375</v>
      </c>
      <c r="L418" s="80">
        <v>19724.5125</v>
      </c>
      <c r="M418" s="80">
        <v>20779.20625</v>
      </c>
      <c r="N418" s="15"/>
    </row>
    <row r="419" ht="18.75" customHeight="1" spans="1:14">
      <c r="A419" s="89" t="s">
        <v>39</v>
      </c>
      <c r="B419" s="117">
        <v>6831</v>
      </c>
      <c r="C419" s="117">
        <v>7721.24375</v>
      </c>
      <c r="D419" s="118">
        <v>7830.35</v>
      </c>
      <c r="E419" s="117">
        <v>8187.7125</v>
      </c>
      <c r="F419" s="117">
        <v>8570.375</v>
      </c>
      <c r="G419" s="118">
        <v>9266.125</v>
      </c>
      <c r="H419" s="117">
        <v>9693.0625</v>
      </c>
      <c r="I419" s="117">
        <v>10494.75625</v>
      </c>
      <c r="J419" s="118">
        <v>11615.8625</v>
      </c>
      <c r="K419" s="117">
        <v>14324.54375</v>
      </c>
      <c r="L419" s="80">
        <v>15948.4875</v>
      </c>
      <c r="M419" s="80">
        <v>16924.11875</v>
      </c>
      <c r="N419" s="15"/>
    </row>
    <row r="420" ht="18.75" customHeight="1" spans="1:14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 ht="23.25" customHeight="1" spans="1:14">
      <c r="A421" s="82" t="s">
        <v>35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15"/>
    </row>
    <row r="422" ht="18.75" customHeight="1" spans="1:14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5" t="s">
        <v>52</v>
      </c>
      <c r="N422" s="15"/>
    </row>
    <row r="423" ht="18.75" customHeight="1" spans="1:14">
      <c r="A423" s="15"/>
      <c r="B423" s="94"/>
      <c r="C423" s="94"/>
      <c r="D423" s="94"/>
      <c r="E423" s="94"/>
      <c r="F423" s="94"/>
      <c r="G423" s="94"/>
      <c r="H423" s="94"/>
      <c r="I423" s="94"/>
      <c r="J423" s="94"/>
      <c r="N423" s="15"/>
    </row>
    <row r="424" ht="21" customHeight="1" spans="1:14">
      <c r="A424" s="96" t="s">
        <v>97</v>
      </c>
      <c r="N424" s="15"/>
    </row>
    <row r="425" ht="21" customHeight="1" spans="1:14">
      <c r="A425" s="96" t="s">
        <v>87</v>
      </c>
      <c r="J425" s="15"/>
      <c r="K425" s="15"/>
      <c r="L425" s="15"/>
      <c r="M425" s="15"/>
      <c r="N425" s="15"/>
    </row>
    <row r="426" ht="21" customHeight="1" spans="1:14">
      <c r="A426" s="97" t="s">
        <v>126</v>
      </c>
      <c r="J426" s="91"/>
      <c r="K426" s="91"/>
      <c r="L426" s="91"/>
      <c r="M426" s="91"/>
      <c r="N426" s="15"/>
    </row>
    <row r="427" ht="28.5" customHeight="1" spans="1:14">
      <c r="A427" s="98"/>
      <c r="B427" s="99" t="s">
        <v>56</v>
      </c>
      <c r="C427" s="86" t="s">
        <v>57</v>
      </c>
      <c r="D427" s="86" t="s">
        <v>58</v>
      </c>
      <c r="E427" s="86" t="s">
        <v>59</v>
      </c>
      <c r="F427" s="86" t="s">
        <v>60</v>
      </c>
      <c r="G427" s="86" t="s">
        <v>61</v>
      </c>
      <c r="H427" s="86" t="s">
        <v>62</v>
      </c>
      <c r="I427" s="86" t="s">
        <v>63</v>
      </c>
      <c r="J427" s="86" t="s">
        <v>64</v>
      </c>
      <c r="K427" s="86" t="s">
        <v>65</v>
      </c>
      <c r="L427" s="86" t="s">
        <v>66</v>
      </c>
      <c r="M427" s="86" t="s">
        <v>67</v>
      </c>
      <c r="N427" s="15"/>
    </row>
    <row r="428" ht="18.75" customHeight="1" spans="1:14">
      <c r="A428" s="111" t="s">
        <v>68</v>
      </c>
      <c r="B428" s="80">
        <v>4325.75</v>
      </c>
      <c r="C428" s="80">
        <v>4620.6875</v>
      </c>
      <c r="D428" s="114">
        <v>4994.275</v>
      </c>
      <c r="E428" s="80">
        <v>5195.4375</v>
      </c>
      <c r="F428" s="80">
        <v>5702.125</v>
      </c>
      <c r="G428" s="114">
        <v>6102.9375</v>
      </c>
      <c r="H428" s="80">
        <v>6488.625</v>
      </c>
      <c r="I428" s="80">
        <v>6981.7</v>
      </c>
      <c r="J428" s="114">
        <v>7892.225</v>
      </c>
      <c r="K428" s="80">
        <v>9265.575</v>
      </c>
      <c r="L428" s="80">
        <v>10088.375</v>
      </c>
      <c r="M428" s="80">
        <v>10637.4125</v>
      </c>
      <c r="N428" s="15"/>
    </row>
    <row r="429" ht="18.75" customHeight="1" spans="1:14">
      <c r="A429" s="89" t="s">
        <v>18</v>
      </c>
      <c r="B429" s="80">
        <v>3690.5</v>
      </c>
      <c r="C429" s="80">
        <v>3932.5</v>
      </c>
      <c r="D429" s="114">
        <v>4219.875</v>
      </c>
      <c r="E429" s="80">
        <v>4566.2375</v>
      </c>
      <c r="F429" s="80">
        <v>4877.8125</v>
      </c>
      <c r="G429" s="114">
        <v>5125.8625</v>
      </c>
      <c r="H429" s="80">
        <v>5263.5</v>
      </c>
      <c r="I429" s="80">
        <v>5621.9625</v>
      </c>
      <c r="J429" s="114">
        <v>6316.2</v>
      </c>
      <c r="K429" s="80">
        <v>7355.2875</v>
      </c>
      <c r="L429" s="80">
        <v>7978.4375</v>
      </c>
      <c r="M429" s="80">
        <v>8395.8875</v>
      </c>
      <c r="N429" s="15"/>
    </row>
    <row r="430" ht="18.75" customHeight="1" spans="1:14">
      <c r="A430" s="89" t="s">
        <v>19</v>
      </c>
      <c r="B430" s="80">
        <v>3026.5125</v>
      </c>
      <c r="C430" s="80">
        <v>3230.7</v>
      </c>
      <c r="D430" s="114">
        <v>3442.45</v>
      </c>
      <c r="E430" s="80">
        <v>3740.4125</v>
      </c>
      <c r="F430" s="80">
        <v>3947.625</v>
      </c>
      <c r="G430" s="114">
        <v>4324.2375</v>
      </c>
      <c r="H430" s="80">
        <v>4416.5</v>
      </c>
      <c r="I430" s="80">
        <v>4653.9625</v>
      </c>
      <c r="J430" s="114">
        <v>5131.9125</v>
      </c>
      <c r="K430" s="80">
        <v>5838.25</v>
      </c>
      <c r="L430" s="80">
        <v>6260.2375</v>
      </c>
      <c r="M430" s="80">
        <v>6543.075</v>
      </c>
      <c r="N430" s="15"/>
    </row>
    <row r="431" ht="18.75" customHeight="1" spans="1:14">
      <c r="A431" s="89" t="s">
        <v>20</v>
      </c>
      <c r="B431" s="80">
        <v>2509.2375</v>
      </c>
      <c r="C431" s="80">
        <v>2767.875</v>
      </c>
      <c r="D431" s="114">
        <v>2920.6375</v>
      </c>
      <c r="E431" s="80">
        <v>3018.95</v>
      </c>
      <c r="F431" s="80">
        <v>3297.25</v>
      </c>
      <c r="G431" s="114">
        <v>3456.0625</v>
      </c>
      <c r="H431" s="80">
        <v>3527.15</v>
      </c>
      <c r="I431" s="80">
        <v>3788.8125</v>
      </c>
      <c r="J431" s="114">
        <v>4141.225</v>
      </c>
      <c r="K431" s="80">
        <v>5071.4125</v>
      </c>
      <c r="L431" s="80">
        <v>5511.55</v>
      </c>
      <c r="M431" s="80">
        <v>5774.725</v>
      </c>
      <c r="N431" s="15"/>
    </row>
    <row r="432" ht="18.75" customHeight="1" spans="1:14">
      <c r="A432" s="89" t="s">
        <v>21</v>
      </c>
      <c r="B432" s="80">
        <v>2017.675</v>
      </c>
      <c r="C432" s="80">
        <v>2243.0375</v>
      </c>
      <c r="D432" s="114">
        <v>2345.8875</v>
      </c>
      <c r="E432" s="80">
        <v>2413.95</v>
      </c>
      <c r="F432" s="80">
        <v>2610.575</v>
      </c>
      <c r="G432" s="114">
        <v>2934.25</v>
      </c>
      <c r="H432" s="80">
        <v>2981.1375</v>
      </c>
      <c r="I432" s="80">
        <v>3159.6125</v>
      </c>
      <c r="J432" s="114">
        <v>3552.8625</v>
      </c>
      <c r="K432" s="80">
        <v>4088.2875</v>
      </c>
      <c r="L432" s="80">
        <v>4408.9375</v>
      </c>
      <c r="M432" s="80">
        <v>4601.025</v>
      </c>
      <c r="N432" s="15"/>
    </row>
    <row r="433" ht="18.75" customHeight="1" spans="1:14">
      <c r="A433" s="89" t="s">
        <v>22</v>
      </c>
      <c r="B433" s="80">
        <v>1690.975</v>
      </c>
      <c r="C433" s="80">
        <v>1905.75</v>
      </c>
      <c r="D433" s="114">
        <v>1966.25</v>
      </c>
      <c r="E433" s="80">
        <v>2010.1125</v>
      </c>
      <c r="F433" s="80">
        <v>2128.0875</v>
      </c>
      <c r="G433" s="114">
        <v>2217.325</v>
      </c>
      <c r="H433" s="80">
        <v>2247.575</v>
      </c>
      <c r="I433" s="80">
        <v>2354.9625</v>
      </c>
      <c r="J433" s="114">
        <v>2607.55</v>
      </c>
      <c r="K433" s="80">
        <v>2934.25</v>
      </c>
      <c r="L433" s="80">
        <v>3130.875</v>
      </c>
      <c r="M433" s="80">
        <v>3245.825</v>
      </c>
      <c r="N433" s="15"/>
    </row>
    <row r="434" ht="18.75" customHeight="1" spans="1:14">
      <c r="A434" s="89" t="s">
        <v>23</v>
      </c>
      <c r="B434" s="80">
        <v>4974.6125</v>
      </c>
      <c r="C434" s="80">
        <v>5263.5</v>
      </c>
      <c r="D434" s="114">
        <v>5555.4125</v>
      </c>
      <c r="E434" s="80">
        <v>5865.475</v>
      </c>
      <c r="F434" s="80">
        <v>5963.7875</v>
      </c>
      <c r="G434" s="114">
        <v>6258.725</v>
      </c>
      <c r="H434" s="80">
        <v>6783.5625</v>
      </c>
      <c r="I434" s="80">
        <v>7570.0625</v>
      </c>
      <c r="J434" s="114">
        <v>8917.7</v>
      </c>
      <c r="K434" s="80">
        <v>10926.3</v>
      </c>
      <c r="L434" s="80">
        <v>12131.7625</v>
      </c>
      <c r="M434" s="80">
        <v>12936.4125</v>
      </c>
      <c r="N434" s="15"/>
    </row>
    <row r="435" ht="18.75" customHeight="1" spans="1:14">
      <c r="A435" s="89" t="s">
        <v>24</v>
      </c>
      <c r="B435" s="80">
        <v>4581.3625</v>
      </c>
      <c r="C435" s="80">
        <v>4870.25</v>
      </c>
      <c r="D435" s="114">
        <v>5162.1625</v>
      </c>
      <c r="E435" s="80">
        <v>5472.225</v>
      </c>
      <c r="F435" s="80">
        <v>5570.5375</v>
      </c>
      <c r="G435" s="114">
        <v>5865.475</v>
      </c>
      <c r="H435" s="80">
        <v>6390.3125</v>
      </c>
      <c r="I435" s="80">
        <v>7176.8125</v>
      </c>
      <c r="J435" s="114">
        <v>8524.45</v>
      </c>
      <c r="K435" s="80">
        <v>10533.05</v>
      </c>
      <c r="L435" s="80">
        <v>11738.5125</v>
      </c>
      <c r="M435" s="80">
        <v>12543.1625</v>
      </c>
      <c r="N435" s="15"/>
    </row>
    <row r="436" ht="18.75" customHeight="1" spans="1:14">
      <c r="A436" s="89" t="s">
        <v>69</v>
      </c>
      <c r="B436" s="80">
        <v>7099.675</v>
      </c>
      <c r="C436" s="80">
        <v>7379.4875</v>
      </c>
      <c r="D436" s="114">
        <v>7799.9625</v>
      </c>
      <c r="E436" s="80">
        <v>8578.9</v>
      </c>
      <c r="F436" s="80">
        <v>8940.3875</v>
      </c>
      <c r="G436" s="114">
        <v>9557.4875</v>
      </c>
      <c r="H436" s="80">
        <v>10114.0875</v>
      </c>
      <c r="I436" s="80">
        <v>11287.7875</v>
      </c>
      <c r="J436" s="114">
        <v>12063.7</v>
      </c>
      <c r="K436" s="80">
        <v>14895.1</v>
      </c>
      <c r="L436" s="80">
        <v>16593.6375</v>
      </c>
      <c r="M436" s="80">
        <v>17726.5</v>
      </c>
      <c r="N436" s="15"/>
    </row>
    <row r="437" ht="18.75" customHeight="1" spans="1:14">
      <c r="A437" s="89" t="s">
        <v>27</v>
      </c>
      <c r="B437" s="80">
        <v>9200.5375</v>
      </c>
      <c r="C437" s="80">
        <v>9453.125</v>
      </c>
      <c r="D437" s="114">
        <v>9858.475</v>
      </c>
      <c r="E437" s="80">
        <v>10755.3875</v>
      </c>
      <c r="F437" s="80">
        <v>11095.7</v>
      </c>
      <c r="G437" s="114">
        <v>12310.2375</v>
      </c>
      <c r="H437" s="80">
        <v>13322.1</v>
      </c>
      <c r="I437" s="80">
        <v>14491.2625</v>
      </c>
      <c r="J437" s="114">
        <v>16917.3125</v>
      </c>
      <c r="K437" s="80">
        <v>19818.2875</v>
      </c>
      <c r="L437" s="80">
        <v>21557.6625</v>
      </c>
      <c r="M437" s="80">
        <v>22602.8</v>
      </c>
      <c r="N437" s="15"/>
    </row>
    <row r="438" ht="18.75" customHeight="1" spans="1:14">
      <c r="A438" s="116" t="s">
        <v>70</v>
      </c>
      <c r="B438" s="80">
        <v>17085.2</v>
      </c>
      <c r="C438" s="80">
        <v>17617.6</v>
      </c>
      <c r="D438" s="114">
        <v>18065.3</v>
      </c>
      <c r="E438" s="80">
        <v>18567.45</v>
      </c>
      <c r="F438" s="80">
        <v>19131.6125</v>
      </c>
      <c r="G438" s="114">
        <v>20415.725</v>
      </c>
      <c r="H438" s="80">
        <v>21096.35</v>
      </c>
      <c r="I438" s="80">
        <v>22563.475</v>
      </c>
      <c r="J438" s="114">
        <v>25304.125</v>
      </c>
      <c r="K438" s="80">
        <v>29838.6</v>
      </c>
      <c r="L438" s="80">
        <v>32559.5875</v>
      </c>
      <c r="M438" s="80">
        <v>20055.75</v>
      </c>
      <c r="N438" s="15"/>
    </row>
    <row r="439" ht="18.75" customHeight="1" spans="1:14">
      <c r="A439" s="111" t="s">
        <v>32</v>
      </c>
      <c r="B439" s="80">
        <v>1940.5375</v>
      </c>
      <c r="C439" s="80">
        <v>1981.375</v>
      </c>
      <c r="D439" s="114">
        <v>2123.55</v>
      </c>
      <c r="E439" s="80">
        <v>2353.45</v>
      </c>
      <c r="F439" s="80">
        <v>2528.9</v>
      </c>
      <c r="G439" s="114">
        <v>2681.6625</v>
      </c>
      <c r="H439" s="80">
        <v>2911.5625</v>
      </c>
      <c r="I439" s="80">
        <v>3008.3625</v>
      </c>
      <c r="J439" s="114">
        <v>3362.2875</v>
      </c>
      <c r="K439" s="80">
        <v>3847.8</v>
      </c>
      <c r="L439" s="80">
        <v>4139.7125</v>
      </c>
      <c r="M439" s="80">
        <v>4312.1375</v>
      </c>
      <c r="N439" s="15"/>
    </row>
    <row r="440" ht="18.75" customHeight="1" spans="1:14">
      <c r="A440" s="111" t="s">
        <v>72</v>
      </c>
      <c r="B440" s="80">
        <v>5785.3125</v>
      </c>
      <c r="C440" s="80">
        <v>5959.25</v>
      </c>
      <c r="D440" s="114">
        <v>6031.85</v>
      </c>
      <c r="E440" s="80">
        <v>6264.775</v>
      </c>
      <c r="F440" s="80">
        <v>6470.475</v>
      </c>
      <c r="G440" s="114">
        <v>6966.575</v>
      </c>
      <c r="H440" s="80">
        <v>7196.475</v>
      </c>
      <c r="I440" s="80">
        <v>7700.1375</v>
      </c>
      <c r="J440" s="114">
        <v>8643.9375</v>
      </c>
      <c r="K440" s="80">
        <v>10427.175</v>
      </c>
      <c r="L440" s="80">
        <v>11496.5125</v>
      </c>
      <c r="M440" s="80">
        <v>12139.325</v>
      </c>
      <c r="N440" s="15"/>
    </row>
    <row r="441" ht="18.75" customHeight="1" spans="1:14">
      <c r="A441" s="111" t="s">
        <v>73</v>
      </c>
      <c r="B441" s="80">
        <v>2182.5375</v>
      </c>
      <c r="C441" s="80">
        <v>2253.625</v>
      </c>
      <c r="D441" s="114">
        <v>2386.725</v>
      </c>
      <c r="E441" s="80">
        <v>2642.3375</v>
      </c>
      <c r="F441" s="80">
        <v>2748.2125</v>
      </c>
      <c r="G441" s="114">
        <v>3061.3</v>
      </c>
      <c r="H441" s="80">
        <v>3342.625</v>
      </c>
      <c r="I441" s="80">
        <v>3826.625</v>
      </c>
      <c r="J441" s="114">
        <v>4141.225</v>
      </c>
      <c r="K441" s="80">
        <v>4902.0125</v>
      </c>
      <c r="L441" s="80">
        <v>5358.7875</v>
      </c>
      <c r="M441" s="80">
        <v>5634.0625</v>
      </c>
      <c r="N441" s="15"/>
    </row>
    <row r="442" ht="18.75" customHeight="1" spans="1:14">
      <c r="A442" s="111" t="s">
        <v>74</v>
      </c>
      <c r="B442" s="80">
        <v>2875.2625</v>
      </c>
      <c r="C442" s="80">
        <v>2975.0875</v>
      </c>
      <c r="D442" s="114">
        <v>3322.9625</v>
      </c>
      <c r="E442" s="80">
        <v>3406.15</v>
      </c>
      <c r="F442" s="80">
        <v>3637.5625</v>
      </c>
      <c r="G442" s="114">
        <v>4194.1625</v>
      </c>
      <c r="H442" s="80">
        <v>4402.8875</v>
      </c>
      <c r="I442" s="80">
        <v>4835.4625</v>
      </c>
      <c r="J442" s="114">
        <v>5183.3375</v>
      </c>
      <c r="K442" s="80">
        <v>6310.15</v>
      </c>
      <c r="L442" s="80">
        <v>6986.2375</v>
      </c>
      <c r="M442" s="80">
        <v>7391.5875</v>
      </c>
      <c r="N442" s="15"/>
    </row>
    <row r="443" ht="18.75" customHeight="1" spans="1:14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 ht="23.25" customHeight="1" spans="1:14">
      <c r="A444" s="82" t="s">
        <v>35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15"/>
    </row>
    <row r="445" ht="18.75" customHeight="1" spans="1:14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5" t="s">
        <v>52</v>
      </c>
      <c r="N445" s="15"/>
    </row>
    <row r="446" ht="18.75" customHeight="1" spans="1:14">
      <c r="A446" s="15"/>
      <c r="B446" s="94"/>
      <c r="C446" s="94"/>
      <c r="D446" s="94"/>
      <c r="E446" s="94"/>
      <c r="F446" s="94"/>
      <c r="G446" s="94"/>
      <c r="H446" s="94"/>
      <c r="I446" s="94"/>
      <c r="J446" s="94"/>
      <c r="N446" s="15"/>
    </row>
    <row r="447" ht="21" customHeight="1" spans="1:14">
      <c r="A447" s="96" t="s">
        <v>98</v>
      </c>
      <c r="N447" s="15"/>
    </row>
    <row r="448" ht="21" customHeight="1" spans="1:14">
      <c r="A448" s="96" t="s">
        <v>87</v>
      </c>
      <c r="J448" s="15"/>
      <c r="K448" s="15"/>
      <c r="L448" s="15"/>
      <c r="M448" s="15"/>
      <c r="N448" s="15"/>
    </row>
    <row r="449" ht="21" customHeight="1" spans="1:14">
      <c r="A449" s="97" t="s">
        <v>126</v>
      </c>
      <c r="J449" s="91"/>
      <c r="K449" s="91"/>
      <c r="L449" s="91"/>
      <c r="M449" s="91"/>
      <c r="N449" s="15"/>
    </row>
    <row r="450" ht="28.5" customHeight="1" spans="1:14">
      <c r="A450" s="98"/>
      <c r="B450" s="99" t="s">
        <v>56</v>
      </c>
      <c r="C450" s="86" t="s">
        <v>57</v>
      </c>
      <c r="D450" s="86" t="s">
        <v>58</v>
      </c>
      <c r="E450" s="86" t="s">
        <v>59</v>
      </c>
      <c r="F450" s="86" t="s">
        <v>60</v>
      </c>
      <c r="G450" s="86" t="s">
        <v>61</v>
      </c>
      <c r="H450" s="86" t="s">
        <v>62</v>
      </c>
      <c r="I450" s="86" t="s">
        <v>63</v>
      </c>
      <c r="J450" s="86" t="s">
        <v>64</v>
      </c>
      <c r="K450" s="86" t="s">
        <v>65</v>
      </c>
      <c r="L450" s="86" t="s">
        <v>66</v>
      </c>
      <c r="M450" s="86" t="s">
        <v>67</v>
      </c>
      <c r="N450" s="15"/>
    </row>
    <row r="451" ht="18.75" customHeight="1" spans="1:14">
      <c r="A451" s="111" t="s">
        <v>68</v>
      </c>
      <c r="B451" s="112">
        <v>5210.5625</v>
      </c>
      <c r="C451" s="112">
        <v>5466.175</v>
      </c>
      <c r="D451" s="113">
        <v>5933.5375</v>
      </c>
      <c r="E451" s="112">
        <v>6627.775</v>
      </c>
      <c r="F451" s="112">
        <v>6881.875</v>
      </c>
      <c r="G451" s="113">
        <v>7063.375</v>
      </c>
      <c r="H451" s="112">
        <v>8560.75</v>
      </c>
      <c r="I451" s="112">
        <v>8990.3</v>
      </c>
      <c r="J451" s="113">
        <v>9430.4375</v>
      </c>
      <c r="K451" s="112">
        <v>11994.125</v>
      </c>
      <c r="L451" s="80">
        <v>13532.3375</v>
      </c>
      <c r="M451" s="80">
        <v>14557.8125</v>
      </c>
      <c r="N451" s="15"/>
    </row>
    <row r="452" ht="18.75" customHeight="1" spans="1:14">
      <c r="A452" s="89" t="s">
        <v>18</v>
      </c>
      <c r="B452" s="112">
        <v>4325.75</v>
      </c>
      <c r="C452" s="112">
        <v>4607.075</v>
      </c>
      <c r="D452" s="113">
        <v>5048.725</v>
      </c>
      <c r="E452" s="112">
        <v>5702.125</v>
      </c>
      <c r="F452" s="112">
        <v>5898.75</v>
      </c>
      <c r="G452" s="113">
        <v>6075.7125</v>
      </c>
      <c r="H452" s="112">
        <v>7282.6875</v>
      </c>
      <c r="I452" s="112">
        <v>7668.375</v>
      </c>
      <c r="J452" s="113">
        <v>7955.75</v>
      </c>
      <c r="K452" s="112">
        <v>10224.5</v>
      </c>
      <c r="L452" s="80">
        <v>11585.75</v>
      </c>
      <c r="M452" s="80">
        <v>12493.25</v>
      </c>
      <c r="N452" s="15"/>
    </row>
    <row r="453" ht="18.75" customHeight="1" spans="1:14">
      <c r="A453" s="89" t="s">
        <v>19</v>
      </c>
      <c r="B453" s="112">
        <v>3590.675</v>
      </c>
      <c r="C453" s="112">
        <v>3735.875</v>
      </c>
      <c r="D453" s="113">
        <v>4129.125</v>
      </c>
      <c r="E453" s="112">
        <v>4594.975</v>
      </c>
      <c r="F453" s="112">
        <v>4817.3125</v>
      </c>
      <c r="G453" s="113">
        <v>4915.625</v>
      </c>
      <c r="H453" s="112">
        <v>6004.625</v>
      </c>
      <c r="I453" s="112">
        <v>6326.7875</v>
      </c>
      <c r="J453" s="113">
        <v>6571.8125</v>
      </c>
      <c r="K453" s="112">
        <v>8587.975</v>
      </c>
      <c r="L453" s="80">
        <v>9799.4875</v>
      </c>
      <c r="M453" s="80">
        <v>10605.65</v>
      </c>
      <c r="N453" s="15"/>
    </row>
    <row r="454" ht="18.75" customHeight="1" spans="1:14">
      <c r="A454" s="89" t="s">
        <v>20</v>
      </c>
      <c r="B454" s="112">
        <v>2894.925</v>
      </c>
      <c r="C454" s="112">
        <v>2953.9125</v>
      </c>
      <c r="D454" s="113">
        <v>3268.5125</v>
      </c>
      <c r="E454" s="112">
        <v>3858.3875</v>
      </c>
      <c r="F454" s="112">
        <v>3997.5375</v>
      </c>
      <c r="G454" s="113">
        <v>4129.125</v>
      </c>
      <c r="H454" s="112">
        <v>4699.3375</v>
      </c>
      <c r="I454" s="112">
        <v>5063.85</v>
      </c>
      <c r="J454" s="113">
        <v>5795.9</v>
      </c>
      <c r="K454" s="112">
        <v>6809.275</v>
      </c>
      <c r="L454" s="80">
        <v>7417.3</v>
      </c>
      <c r="M454" s="80">
        <v>7780.3</v>
      </c>
      <c r="N454" s="15"/>
    </row>
    <row r="455" ht="18.75" customHeight="1" spans="1:14">
      <c r="A455" s="89" t="s">
        <v>21</v>
      </c>
      <c r="B455" s="112">
        <v>2359.5</v>
      </c>
      <c r="C455" s="112">
        <v>2560.6625</v>
      </c>
      <c r="D455" s="113">
        <v>2752.75</v>
      </c>
      <c r="E455" s="112">
        <v>2994.75</v>
      </c>
      <c r="F455" s="112">
        <v>3270.025</v>
      </c>
      <c r="G455" s="113">
        <v>3596.725</v>
      </c>
      <c r="H455" s="112">
        <v>3696.55</v>
      </c>
      <c r="I455" s="112">
        <v>3956.7</v>
      </c>
      <c r="J455" s="113">
        <v>4493.6375</v>
      </c>
      <c r="K455" s="112">
        <v>5228.7125</v>
      </c>
      <c r="L455" s="80">
        <v>5668.85</v>
      </c>
      <c r="M455" s="80">
        <v>5933.5375</v>
      </c>
      <c r="N455" s="15"/>
    </row>
    <row r="456" ht="18.75" customHeight="1" spans="1:14">
      <c r="A456" s="89" t="s">
        <v>22</v>
      </c>
      <c r="B456" s="80">
        <v>2037.3375</v>
      </c>
      <c r="C456" s="80">
        <v>2117.5</v>
      </c>
      <c r="D456" s="114">
        <v>2353.45</v>
      </c>
      <c r="E456" s="80">
        <v>2410.925</v>
      </c>
      <c r="F456" s="80">
        <v>2575.7875</v>
      </c>
      <c r="G456" s="114">
        <v>2674.1</v>
      </c>
      <c r="H456" s="80">
        <v>2727.0375</v>
      </c>
      <c r="I456" s="80">
        <v>2875.2625</v>
      </c>
      <c r="J456" s="114">
        <v>3203.475</v>
      </c>
      <c r="K456" s="80">
        <v>3649.6625</v>
      </c>
      <c r="L456" s="80">
        <v>3917.375</v>
      </c>
      <c r="M456" s="80">
        <v>4077.7</v>
      </c>
      <c r="N456" s="15"/>
    </row>
    <row r="457" ht="18.75" customHeight="1" spans="1:14">
      <c r="A457" s="89" t="s">
        <v>23</v>
      </c>
      <c r="B457" s="80">
        <v>5523.65</v>
      </c>
      <c r="C457" s="80">
        <v>6040.925</v>
      </c>
      <c r="D457" s="114">
        <v>6754.825</v>
      </c>
      <c r="E457" s="80">
        <v>7302.35</v>
      </c>
      <c r="F457" s="80">
        <v>8029.8625</v>
      </c>
      <c r="G457" s="114">
        <v>8987.275</v>
      </c>
      <c r="H457" s="80">
        <v>9953.7625</v>
      </c>
      <c r="I457" s="80">
        <v>10303.15</v>
      </c>
      <c r="J457" s="114">
        <v>11593.3125</v>
      </c>
      <c r="K457" s="80">
        <v>15004</v>
      </c>
      <c r="L457" s="80">
        <v>17051.925</v>
      </c>
      <c r="M457" s="80">
        <v>18416.2</v>
      </c>
      <c r="N457" s="15"/>
    </row>
    <row r="458" ht="18.75" customHeight="1" spans="1:14">
      <c r="A458" s="89" t="s">
        <v>24</v>
      </c>
      <c r="B458" s="80">
        <v>5130.4</v>
      </c>
      <c r="C458" s="80">
        <v>5647.675</v>
      </c>
      <c r="D458" s="114">
        <v>6361.575</v>
      </c>
      <c r="E458" s="80">
        <v>6909.1</v>
      </c>
      <c r="F458" s="80">
        <v>7636.6125</v>
      </c>
      <c r="G458" s="114">
        <v>8594.025</v>
      </c>
      <c r="H458" s="80">
        <v>9560.5125</v>
      </c>
      <c r="I458" s="80">
        <v>9909.9</v>
      </c>
      <c r="J458" s="114">
        <v>11200.0625</v>
      </c>
      <c r="K458" s="80">
        <v>14610.75</v>
      </c>
      <c r="L458" s="80">
        <v>16658.675</v>
      </c>
      <c r="M458" s="80">
        <v>18022.95</v>
      </c>
      <c r="N458" s="15"/>
    </row>
    <row r="459" ht="18.75" customHeight="1" spans="1:14">
      <c r="A459" s="89" t="s">
        <v>69</v>
      </c>
      <c r="B459" s="80">
        <v>7967.85</v>
      </c>
      <c r="C459" s="80">
        <v>8571.3375</v>
      </c>
      <c r="D459" s="114">
        <v>9280.7</v>
      </c>
      <c r="E459" s="80">
        <v>10041.4875</v>
      </c>
      <c r="F459" s="80">
        <v>10537.5875</v>
      </c>
      <c r="G459" s="114">
        <v>11357.3625</v>
      </c>
      <c r="H459" s="80">
        <v>11844.3875</v>
      </c>
      <c r="I459" s="80">
        <v>12945.4875</v>
      </c>
      <c r="J459" s="114">
        <v>14521.5125</v>
      </c>
      <c r="K459" s="80">
        <v>163380.25</v>
      </c>
      <c r="L459" s="80">
        <v>16265.425</v>
      </c>
      <c r="M459" s="80">
        <v>17629.7</v>
      </c>
      <c r="N459" s="15"/>
    </row>
    <row r="460" ht="18.75" customHeight="1" spans="1:14">
      <c r="A460" s="89" t="s">
        <v>27</v>
      </c>
      <c r="B460" s="80">
        <v>10604.1375</v>
      </c>
      <c r="C460" s="80">
        <v>11251.4875</v>
      </c>
      <c r="D460" s="114">
        <v>11616</v>
      </c>
      <c r="E460" s="80">
        <v>12319.3125</v>
      </c>
      <c r="F460" s="80">
        <v>12878.9375</v>
      </c>
      <c r="G460" s="114">
        <v>14241.7</v>
      </c>
      <c r="H460" s="80">
        <v>15125</v>
      </c>
      <c r="I460" s="80">
        <v>17086.7125</v>
      </c>
      <c r="J460" s="114">
        <v>20331.025</v>
      </c>
      <c r="K460" s="80">
        <v>24667.3625</v>
      </c>
      <c r="L460" s="80">
        <v>27267.35</v>
      </c>
      <c r="M460" s="80">
        <v>28829.7625</v>
      </c>
      <c r="N460" s="15"/>
    </row>
    <row r="461" ht="18.75" customHeight="1" spans="1:14">
      <c r="A461" s="115" t="s">
        <v>70</v>
      </c>
      <c r="B461" s="80">
        <v>19565.7</v>
      </c>
      <c r="C461" s="80">
        <v>20200.95</v>
      </c>
      <c r="D461" s="114">
        <v>20719.7375</v>
      </c>
      <c r="E461" s="80">
        <v>21309.6125</v>
      </c>
      <c r="F461" s="80">
        <v>21978.1375</v>
      </c>
      <c r="G461" s="114">
        <v>23490.6375</v>
      </c>
      <c r="H461" s="80">
        <v>24304.3625</v>
      </c>
      <c r="I461" s="80">
        <v>26067.9375</v>
      </c>
      <c r="J461" s="114">
        <v>29086.8875</v>
      </c>
      <c r="K461" s="80">
        <v>34194.6</v>
      </c>
      <c r="L461" s="80">
        <v>37260.4375</v>
      </c>
      <c r="M461" s="80">
        <v>39099.6375</v>
      </c>
      <c r="N461" s="15"/>
    </row>
    <row r="462" ht="18.75" customHeight="1" spans="1:14">
      <c r="A462" s="89" t="s">
        <v>32</v>
      </c>
      <c r="B462" s="80">
        <v>2286.9</v>
      </c>
      <c r="C462" s="80">
        <v>2332.275</v>
      </c>
      <c r="D462" s="114">
        <v>2380.675</v>
      </c>
      <c r="E462" s="80">
        <v>2622.675</v>
      </c>
      <c r="F462" s="80">
        <v>2864.675</v>
      </c>
      <c r="G462" s="114">
        <v>2996.2625</v>
      </c>
      <c r="H462" s="80">
        <v>3244.3125</v>
      </c>
      <c r="I462" s="80">
        <v>3348.675</v>
      </c>
      <c r="J462" s="114">
        <v>3692.0125</v>
      </c>
      <c r="K462" s="80">
        <v>4107.95</v>
      </c>
      <c r="L462" s="80">
        <v>4357.5125</v>
      </c>
      <c r="M462" s="80">
        <v>4507.25</v>
      </c>
      <c r="N462" s="15"/>
    </row>
    <row r="463" ht="18.75" customHeight="1" spans="1:14">
      <c r="A463" s="89" t="s">
        <v>81</v>
      </c>
      <c r="B463" s="80">
        <v>6479.55</v>
      </c>
      <c r="C463" s="80">
        <v>6692.8125</v>
      </c>
      <c r="D463" s="114">
        <v>6754.825</v>
      </c>
      <c r="E463" s="80">
        <v>7010.4375</v>
      </c>
      <c r="F463" s="80">
        <v>7261.5125</v>
      </c>
      <c r="G463" s="114">
        <v>7970.875</v>
      </c>
      <c r="H463" s="80">
        <v>8612.175</v>
      </c>
      <c r="I463" s="80">
        <v>9268.6</v>
      </c>
      <c r="J463" s="114">
        <v>10224.5</v>
      </c>
      <c r="K463" s="80">
        <v>12839.6125</v>
      </c>
      <c r="L463" s="80">
        <v>14408.075</v>
      </c>
      <c r="M463" s="80">
        <v>15350.3625</v>
      </c>
      <c r="N463" s="15"/>
    </row>
    <row r="464" ht="18.75" customHeight="1" spans="1:14">
      <c r="A464" s="89" t="s">
        <v>82</v>
      </c>
      <c r="B464" s="80">
        <v>7895.25</v>
      </c>
      <c r="C464" s="80">
        <v>8200.775</v>
      </c>
      <c r="D464" s="114">
        <v>8259.7625</v>
      </c>
      <c r="E464" s="80">
        <v>8619.7375</v>
      </c>
      <c r="F464" s="80">
        <v>8976.6875</v>
      </c>
      <c r="G464" s="114">
        <v>9672.4375</v>
      </c>
      <c r="H464" s="80">
        <v>10047.5375</v>
      </c>
      <c r="I464" s="80">
        <v>10849.1625</v>
      </c>
      <c r="J464" s="114">
        <v>12103.025</v>
      </c>
      <c r="K464" s="80">
        <v>14837.625</v>
      </c>
      <c r="L464" s="80">
        <v>16478.6875</v>
      </c>
      <c r="M464" s="80">
        <v>17461.8125</v>
      </c>
      <c r="N464" s="15"/>
    </row>
    <row r="465" ht="18.75" customHeight="1" spans="1:14">
      <c r="A465" s="89" t="s">
        <v>39</v>
      </c>
      <c r="B465" s="80">
        <v>5367.8625</v>
      </c>
      <c r="C465" s="80">
        <v>5438.95</v>
      </c>
      <c r="D465" s="114">
        <v>5594.7375</v>
      </c>
      <c r="E465" s="80">
        <v>6127.1375</v>
      </c>
      <c r="F465" s="80">
        <v>6475.0125</v>
      </c>
      <c r="G465" s="114">
        <v>7019.5125</v>
      </c>
      <c r="H465" s="80">
        <v>7119.3375</v>
      </c>
      <c r="I465" s="80">
        <v>7393.1</v>
      </c>
      <c r="J465" s="114">
        <v>7989.025</v>
      </c>
      <c r="K465" s="80">
        <v>9341.2</v>
      </c>
      <c r="L465" s="80">
        <v>10153.4125</v>
      </c>
      <c r="M465" s="80">
        <v>10638.925</v>
      </c>
      <c r="N465" s="15"/>
    </row>
    <row r="466" ht="18.75" customHeight="1" spans="1:14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 ht="23.25" customHeight="1" spans="1:14">
      <c r="A467" s="82" t="s">
        <v>35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15"/>
    </row>
    <row r="468" ht="18.75" customHeight="1" spans="1:14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5" t="s">
        <v>52</v>
      </c>
      <c r="N468" s="15"/>
    </row>
    <row r="469" ht="18.75" customHeight="1" spans="1:14">
      <c r="A469" s="15"/>
      <c r="B469" s="94"/>
      <c r="C469" s="94"/>
      <c r="D469" s="94"/>
      <c r="E469" s="94"/>
      <c r="F469" s="94"/>
      <c r="G469" s="94"/>
      <c r="H469" s="94"/>
      <c r="I469" s="94"/>
      <c r="J469" s="94"/>
      <c r="N469" s="15"/>
    </row>
    <row r="470" ht="21" customHeight="1" spans="1:14">
      <c r="A470" s="96" t="s">
        <v>97</v>
      </c>
      <c r="N470" s="15"/>
    </row>
    <row r="471" ht="21" customHeight="1" spans="1:14">
      <c r="A471" s="96" t="s">
        <v>89</v>
      </c>
      <c r="K471" s="15"/>
      <c r="L471" s="15"/>
      <c r="M471" s="15"/>
      <c r="N471" s="15"/>
    </row>
    <row r="472" ht="21" customHeight="1" spans="1:14">
      <c r="A472" s="97" t="s">
        <v>126</v>
      </c>
      <c r="J472" s="91"/>
      <c r="K472" s="91"/>
      <c r="L472" s="91"/>
      <c r="M472" s="91"/>
      <c r="N472" s="15"/>
    </row>
    <row r="473" ht="28.5" customHeight="1" spans="1:14">
      <c r="A473" s="98"/>
      <c r="B473" s="99" t="s">
        <v>56</v>
      </c>
      <c r="C473" s="86" t="s">
        <v>57</v>
      </c>
      <c r="D473" s="86" t="s">
        <v>58</v>
      </c>
      <c r="E473" s="86" t="s">
        <v>59</v>
      </c>
      <c r="F473" s="86" t="s">
        <v>60</v>
      </c>
      <c r="G473" s="86" t="s">
        <v>61</v>
      </c>
      <c r="H473" s="86" t="s">
        <v>62</v>
      </c>
      <c r="I473" s="86" t="s">
        <v>63</v>
      </c>
      <c r="J473" s="86" t="s">
        <v>64</v>
      </c>
      <c r="K473" s="86" t="s">
        <v>65</v>
      </c>
      <c r="L473" s="86" t="s">
        <v>66</v>
      </c>
      <c r="M473" s="86" t="s">
        <v>67</v>
      </c>
      <c r="N473" s="15"/>
    </row>
    <row r="474" ht="18.75" customHeight="1" spans="1:14">
      <c r="A474" s="111" t="s">
        <v>68</v>
      </c>
      <c r="B474" s="80">
        <v>4532.495</v>
      </c>
      <c r="C474" s="80">
        <v>4608.395</v>
      </c>
      <c r="D474" s="114">
        <v>4938.56</v>
      </c>
      <c r="E474" s="80">
        <v>5338.3</v>
      </c>
      <c r="F474" s="80">
        <v>5755.75</v>
      </c>
      <c r="G474" s="114">
        <v>6002.425</v>
      </c>
      <c r="H474" s="80">
        <v>6294.64</v>
      </c>
      <c r="I474" s="80">
        <v>6906.9</v>
      </c>
      <c r="J474" s="114">
        <v>7564.7</v>
      </c>
      <c r="K474" s="80">
        <v>9209.2</v>
      </c>
      <c r="L474" s="80">
        <v>10195.9</v>
      </c>
      <c r="M474" s="80">
        <v>10853.7</v>
      </c>
      <c r="N474" s="15"/>
    </row>
    <row r="475" ht="18.75" customHeight="1" spans="1:14">
      <c r="A475" s="89" t="s">
        <v>18</v>
      </c>
      <c r="B475" s="80">
        <v>3715.305</v>
      </c>
      <c r="C475" s="80">
        <v>3997.4</v>
      </c>
      <c r="D475" s="114">
        <v>4340.215</v>
      </c>
      <c r="E475" s="80">
        <v>4642.55</v>
      </c>
      <c r="F475" s="80">
        <v>4918.32</v>
      </c>
      <c r="G475" s="114">
        <v>5153.61</v>
      </c>
      <c r="H475" s="80">
        <v>5448.355</v>
      </c>
      <c r="I475" s="80">
        <v>6225.065</v>
      </c>
      <c r="J475" s="114">
        <v>6407.225</v>
      </c>
      <c r="K475" s="80">
        <v>7893.6</v>
      </c>
      <c r="L475" s="80">
        <v>8584.29</v>
      </c>
      <c r="M475" s="80">
        <v>9083.965</v>
      </c>
      <c r="N475" s="15"/>
    </row>
    <row r="476" ht="18.75" customHeight="1" spans="1:14">
      <c r="A476" s="89" t="s">
        <v>19</v>
      </c>
      <c r="B476" s="80">
        <v>2894.32</v>
      </c>
      <c r="C476" s="80">
        <v>3137.2</v>
      </c>
      <c r="D476" s="114">
        <v>3420.56</v>
      </c>
      <c r="E476" s="80">
        <v>3677.355</v>
      </c>
      <c r="F476" s="80">
        <v>4025.23</v>
      </c>
      <c r="G476" s="114">
        <v>4275.7</v>
      </c>
      <c r="H476" s="80">
        <v>4445.21</v>
      </c>
      <c r="I476" s="80">
        <v>4828.505</v>
      </c>
      <c r="J476" s="114">
        <v>5262.4</v>
      </c>
      <c r="K476" s="80">
        <v>6413.55</v>
      </c>
      <c r="L476" s="80">
        <v>7104.24</v>
      </c>
      <c r="M476" s="80">
        <v>7564.7</v>
      </c>
      <c r="N476" s="15"/>
    </row>
    <row r="477" ht="18.75" customHeight="1" spans="1:14">
      <c r="A477" s="89" t="s">
        <v>20</v>
      </c>
      <c r="B477" s="80">
        <v>2402.235</v>
      </c>
      <c r="C477" s="80">
        <v>2621.08</v>
      </c>
      <c r="D477" s="114">
        <v>2867.755</v>
      </c>
      <c r="E477" s="80">
        <v>3097.985</v>
      </c>
      <c r="F477" s="80">
        <v>3338.335</v>
      </c>
      <c r="G477" s="114">
        <v>3453.45</v>
      </c>
      <c r="H477" s="80">
        <v>3630.55</v>
      </c>
      <c r="I477" s="80">
        <v>3889.875</v>
      </c>
      <c r="J477" s="114">
        <v>4275.7</v>
      </c>
      <c r="K477" s="80">
        <v>5151.08</v>
      </c>
      <c r="L477" s="80">
        <v>5674.79</v>
      </c>
      <c r="M477" s="80">
        <v>6025.195</v>
      </c>
      <c r="N477" s="15"/>
    </row>
    <row r="478" ht="18.75" customHeight="1" spans="1:14">
      <c r="A478" s="89" t="s">
        <v>21</v>
      </c>
      <c r="B478" s="80">
        <v>2279.53</v>
      </c>
      <c r="C478" s="80">
        <v>2307.36</v>
      </c>
      <c r="D478" s="114">
        <v>2406.03</v>
      </c>
      <c r="E478" s="80">
        <v>2476.87</v>
      </c>
      <c r="F478" s="80">
        <v>2660.295</v>
      </c>
      <c r="G478" s="114">
        <v>2790.59</v>
      </c>
      <c r="H478" s="80">
        <v>2846.25</v>
      </c>
      <c r="I478" s="80">
        <v>3030.94</v>
      </c>
      <c r="J478" s="114">
        <v>3431.945</v>
      </c>
      <c r="K478" s="80">
        <v>3950.595</v>
      </c>
      <c r="L478" s="80">
        <v>4260.52</v>
      </c>
      <c r="M478" s="80">
        <v>4467.98</v>
      </c>
      <c r="N478" s="15"/>
    </row>
    <row r="479" ht="18.75" customHeight="1" spans="1:14">
      <c r="A479" s="89" t="s">
        <v>22</v>
      </c>
      <c r="B479" s="80">
        <v>1738.11</v>
      </c>
      <c r="C479" s="80">
        <v>1754.555</v>
      </c>
      <c r="D479" s="114">
        <v>1812.745</v>
      </c>
      <c r="E479" s="80">
        <v>1854.49</v>
      </c>
      <c r="F479" s="80">
        <v>1962.015</v>
      </c>
      <c r="G479" s="114">
        <v>2051.83</v>
      </c>
      <c r="H479" s="80">
        <v>2084.72</v>
      </c>
      <c r="I479" s="80">
        <v>2338.985</v>
      </c>
      <c r="J479" s="114">
        <v>2591.985</v>
      </c>
      <c r="K479" s="80">
        <v>2910.765</v>
      </c>
      <c r="L479" s="80">
        <v>3101.78</v>
      </c>
      <c r="M479" s="80">
        <v>3229.545</v>
      </c>
      <c r="N479" s="15"/>
    </row>
    <row r="480" ht="18.75" customHeight="1" spans="1:14">
      <c r="A480" s="89" t="s">
        <v>23</v>
      </c>
      <c r="B480" s="80">
        <v>5127.045</v>
      </c>
      <c r="C480" s="80">
        <v>5545.76</v>
      </c>
      <c r="D480" s="114">
        <v>5800.025</v>
      </c>
      <c r="E480" s="80">
        <v>6400.9</v>
      </c>
      <c r="F480" s="80">
        <v>6818.35</v>
      </c>
      <c r="G480" s="114">
        <v>7248.45</v>
      </c>
      <c r="H480" s="80">
        <v>7659.575</v>
      </c>
      <c r="I480" s="80">
        <v>8590.615</v>
      </c>
      <c r="J480" s="114">
        <v>9541.895</v>
      </c>
      <c r="K480" s="80">
        <v>11965.635</v>
      </c>
      <c r="L480" s="80">
        <v>13188.89</v>
      </c>
      <c r="M480" s="80">
        <v>13817.595</v>
      </c>
      <c r="N480" s="15"/>
    </row>
    <row r="481" ht="18.75" customHeight="1" spans="1:14">
      <c r="A481" s="89" t="s">
        <v>24</v>
      </c>
      <c r="B481" s="80">
        <v>4798.145</v>
      </c>
      <c r="C481" s="80">
        <v>5216.86</v>
      </c>
      <c r="D481" s="114">
        <v>5471.125</v>
      </c>
      <c r="E481" s="80">
        <v>6072</v>
      </c>
      <c r="F481" s="80">
        <v>6489.45</v>
      </c>
      <c r="G481" s="114">
        <v>6919.55</v>
      </c>
      <c r="H481" s="80">
        <v>7330.675</v>
      </c>
      <c r="I481" s="80">
        <v>8261.715</v>
      </c>
      <c r="J481" s="114">
        <v>9212.995</v>
      </c>
      <c r="K481" s="80">
        <v>11636.735</v>
      </c>
      <c r="L481" s="80">
        <v>12859.99</v>
      </c>
      <c r="M481" s="80">
        <v>13488.695</v>
      </c>
      <c r="N481" s="15"/>
    </row>
    <row r="482" ht="18.75" customHeight="1" spans="1:14">
      <c r="A482" s="89" t="s">
        <v>69</v>
      </c>
      <c r="B482" s="80">
        <v>6150.43</v>
      </c>
      <c r="C482" s="80">
        <v>6565.35</v>
      </c>
      <c r="D482" s="114">
        <v>7099.18</v>
      </c>
      <c r="E482" s="80">
        <v>7988.475</v>
      </c>
      <c r="F482" s="80">
        <v>8087.145</v>
      </c>
      <c r="G482" s="114">
        <v>8633.625</v>
      </c>
      <c r="H482" s="80">
        <v>9119.385</v>
      </c>
      <c r="I482" s="80">
        <v>10141.505</v>
      </c>
      <c r="J482" s="114">
        <v>11014.355</v>
      </c>
      <c r="K482" s="80">
        <v>13527.91</v>
      </c>
      <c r="L482" s="80">
        <v>15035.79</v>
      </c>
      <c r="M482" s="80">
        <v>16040.2</v>
      </c>
      <c r="N482" s="15"/>
    </row>
    <row r="483" ht="18.75" customHeight="1" spans="1:14">
      <c r="A483" s="89" t="s">
        <v>27</v>
      </c>
      <c r="B483" s="80">
        <v>8314.845</v>
      </c>
      <c r="C483" s="80">
        <v>8738.62</v>
      </c>
      <c r="D483" s="114">
        <v>9132.035</v>
      </c>
      <c r="E483" s="80">
        <v>9783.51</v>
      </c>
      <c r="F483" s="80">
        <v>10294.57</v>
      </c>
      <c r="G483" s="114">
        <v>11417.89</v>
      </c>
      <c r="H483" s="80">
        <v>12657.59</v>
      </c>
      <c r="I483" s="80">
        <v>13944.095</v>
      </c>
      <c r="J483" s="114">
        <v>15989.6</v>
      </c>
      <c r="K483" s="80">
        <v>18883.92</v>
      </c>
      <c r="L483" s="80">
        <v>20620.765</v>
      </c>
      <c r="M483" s="80">
        <v>21663.125</v>
      </c>
      <c r="N483" s="15"/>
    </row>
    <row r="484" ht="18.75" customHeight="1" spans="1:14">
      <c r="A484" s="115" t="s">
        <v>70</v>
      </c>
      <c r="B484" s="80">
        <v>15042.115</v>
      </c>
      <c r="C484" s="80">
        <v>15546.85</v>
      </c>
      <c r="D484" s="114">
        <v>15980.745</v>
      </c>
      <c r="E484" s="80">
        <v>16462.71</v>
      </c>
      <c r="F484" s="80">
        <v>16999.07</v>
      </c>
      <c r="G484" s="114">
        <v>18181.845</v>
      </c>
      <c r="H484" s="80">
        <v>18819.405</v>
      </c>
      <c r="I484" s="80">
        <v>20194.46</v>
      </c>
      <c r="J484" s="114">
        <v>22697.895</v>
      </c>
      <c r="K484" s="80">
        <v>27001.425</v>
      </c>
      <c r="L484" s="80">
        <v>29583.29</v>
      </c>
      <c r="M484" s="80">
        <v>31378.325</v>
      </c>
      <c r="N484" s="15"/>
    </row>
    <row r="485" ht="18.75" customHeight="1" spans="1:14">
      <c r="A485" s="111" t="s">
        <v>71</v>
      </c>
      <c r="B485" s="80">
        <v>1803.89</v>
      </c>
      <c r="C485" s="80">
        <v>1841.84</v>
      </c>
      <c r="D485" s="114">
        <v>1973.4</v>
      </c>
      <c r="E485" s="80">
        <v>2187.185</v>
      </c>
      <c r="F485" s="80">
        <v>2350.37</v>
      </c>
      <c r="G485" s="114">
        <v>2493.315</v>
      </c>
      <c r="H485" s="80">
        <v>2707.1</v>
      </c>
      <c r="I485" s="80">
        <v>2795.65</v>
      </c>
      <c r="J485" s="114">
        <v>3124.55</v>
      </c>
      <c r="K485" s="80">
        <v>3574.89</v>
      </c>
      <c r="L485" s="80">
        <v>3844.335</v>
      </c>
      <c r="M485" s="80">
        <v>4007.52</v>
      </c>
      <c r="N485" s="15"/>
    </row>
    <row r="486" ht="18.75" customHeight="1" spans="1:14">
      <c r="A486" s="111" t="s">
        <v>72</v>
      </c>
      <c r="B486" s="80">
        <v>5052.41</v>
      </c>
      <c r="C486" s="80">
        <v>5208.005</v>
      </c>
      <c r="D486" s="114">
        <v>5280.11</v>
      </c>
      <c r="E486" s="80">
        <v>5485.04</v>
      </c>
      <c r="F486" s="80">
        <v>5667.2</v>
      </c>
      <c r="G486" s="114">
        <v>6102.36</v>
      </c>
      <c r="H486" s="80">
        <v>6304.76</v>
      </c>
      <c r="I486" s="80">
        <v>6748.775</v>
      </c>
      <c r="J486" s="114">
        <v>7571.025</v>
      </c>
      <c r="K486" s="80">
        <v>9133.3</v>
      </c>
      <c r="L486" s="80">
        <v>10070.665</v>
      </c>
      <c r="M486" s="80">
        <v>10633.59</v>
      </c>
      <c r="N486" s="15"/>
    </row>
    <row r="487" ht="18.75" customHeight="1" spans="1:14">
      <c r="A487" s="111" t="s">
        <v>73</v>
      </c>
      <c r="B487" s="80">
        <v>2048.035</v>
      </c>
      <c r="C487" s="80">
        <v>2132.79</v>
      </c>
      <c r="D487" s="114">
        <v>2284.59</v>
      </c>
      <c r="E487" s="80">
        <v>2409.825</v>
      </c>
      <c r="F487" s="80">
        <v>2499.64</v>
      </c>
      <c r="G487" s="114">
        <v>2801.975</v>
      </c>
      <c r="H487" s="80">
        <v>2999.315</v>
      </c>
      <c r="I487" s="80">
        <v>3492.665</v>
      </c>
      <c r="J487" s="114">
        <v>3788.675</v>
      </c>
      <c r="K487" s="80">
        <v>4647.61</v>
      </c>
      <c r="L487" s="80">
        <v>5162.465</v>
      </c>
      <c r="M487" s="80">
        <v>5471.125</v>
      </c>
      <c r="N487" s="15"/>
    </row>
    <row r="488" ht="18.75" customHeight="1" spans="1:14">
      <c r="A488" s="119" t="s">
        <v>74</v>
      </c>
      <c r="B488" s="80">
        <v>2585.66</v>
      </c>
      <c r="C488" s="80">
        <v>2713.425</v>
      </c>
      <c r="D488" s="114">
        <v>2894.32</v>
      </c>
      <c r="E488" s="80">
        <v>2998.05</v>
      </c>
      <c r="F488" s="80">
        <v>3158.705</v>
      </c>
      <c r="G488" s="114">
        <v>3678.62</v>
      </c>
      <c r="H488" s="80">
        <v>3925.295</v>
      </c>
      <c r="I488" s="80">
        <v>4356.66</v>
      </c>
      <c r="J488" s="114">
        <v>4857.6</v>
      </c>
      <c r="K488" s="80">
        <v>5831.65</v>
      </c>
      <c r="L488" s="80">
        <v>6414.815</v>
      </c>
      <c r="M488" s="80">
        <v>6765.22</v>
      </c>
      <c r="N488" s="15"/>
    </row>
    <row r="489" ht="18.75" customHeight="1" spans="1:14">
      <c r="A489" s="111" t="s">
        <v>77</v>
      </c>
      <c r="B489" s="80">
        <v>3412.97</v>
      </c>
      <c r="C489" s="80">
        <v>3502.785</v>
      </c>
      <c r="D489" s="114">
        <v>3787.41</v>
      </c>
      <c r="E489" s="80">
        <v>4111.25</v>
      </c>
      <c r="F489" s="80">
        <v>4357.925</v>
      </c>
      <c r="G489" s="114">
        <v>4675.44</v>
      </c>
      <c r="H489" s="80">
        <v>5004.34</v>
      </c>
      <c r="I489" s="80">
        <v>5507.81</v>
      </c>
      <c r="J489" s="114">
        <v>6068.205</v>
      </c>
      <c r="K489" s="80">
        <v>6495.775</v>
      </c>
      <c r="L489" s="80">
        <v>6555.23</v>
      </c>
      <c r="M489" s="80">
        <v>6594.445</v>
      </c>
      <c r="N489" s="15"/>
    </row>
    <row r="490" ht="18.75" customHeight="1" spans="1:14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 ht="23.25" customHeight="1" spans="1:14">
      <c r="A491" s="82" t="s">
        <v>35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15"/>
    </row>
    <row r="492" ht="18.75" customHeight="1" spans="1:14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5" t="s">
        <v>52</v>
      </c>
      <c r="N492" s="15"/>
    </row>
    <row r="493" ht="18.75" customHeight="1" spans="1:14">
      <c r="A493" s="15"/>
      <c r="B493" s="94"/>
      <c r="C493" s="94"/>
      <c r="D493" s="94"/>
      <c r="E493" s="94"/>
      <c r="F493" s="94"/>
      <c r="G493" s="94"/>
      <c r="H493" s="94"/>
      <c r="I493" s="94"/>
      <c r="J493" s="94"/>
      <c r="N493" s="15"/>
    </row>
    <row r="494" ht="21" customHeight="1" spans="1:14">
      <c r="A494" s="96" t="s">
        <v>98</v>
      </c>
      <c r="N494" s="15"/>
    </row>
    <row r="495" ht="21" customHeight="1" spans="1:14">
      <c r="A495" s="96" t="s">
        <v>89</v>
      </c>
      <c r="K495" s="15"/>
      <c r="L495" s="15"/>
      <c r="M495" s="15"/>
      <c r="N495" s="15"/>
    </row>
    <row r="496" ht="21" customHeight="1" spans="1:14">
      <c r="A496" s="97" t="s">
        <v>126</v>
      </c>
      <c r="J496" s="91"/>
      <c r="K496" s="91"/>
      <c r="L496" s="91"/>
      <c r="M496" s="91"/>
      <c r="N496" s="15"/>
    </row>
    <row r="497" ht="28.5" customHeight="1" spans="1:14">
      <c r="A497" s="98"/>
      <c r="B497" s="99" t="s">
        <v>56</v>
      </c>
      <c r="C497" s="86" t="s">
        <v>57</v>
      </c>
      <c r="D497" s="86" t="s">
        <v>58</v>
      </c>
      <c r="E497" s="86" t="s">
        <v>59</v>
      </c>
      <c r="F497" s="86" t="s">
        <v>60</v>
      </c>
      <c r="G497" s="86" t="s">
        <v>61</v>
      </c>
      <c r="H497" s="86" t="s">
        <v>62</v>
      </c>
      <c r="I497" s="86" t="s">
        <v>63</v>
      </c>
      <c r="J497" s="86" t="s">
        <v>64</v>
      </c>
      <c r="K497" s="86" t="s">
        <v>65</v>
      </c>
      <c r="L497" s="86" t="s">
        <v>66</v>
      </c>
      <c r="M497" s="86" t="s">
        <v>67</v>
      </c>
      <c r="N497" s="15"/>
    </row>
    <row r="498" ht="18.75" customHeight="1" spans="1:14">
      <c r="A498" s="111" t="s">
        <v>68</v>
      </c>
      <c r="B498" s="117">
        <v>6563.76875</v>
      </c>
      <c r="C498" s="117">
        <v>7144.0875</v>
      </c>
      <c r="D498" s="118">
        <v>7605.8125</v>
      </c>
      <c r="E498" s="117">
        <v>8243.05625</v>
      </c>
      <c r="F498" s="117">
        <v>8742.73125</v>
      </c>
      <c r="G498" s="118">
        <v>9125.39375</v>
      </c>
      <c r="H498" s="117">
        <v>10004.56875</v>
      </c>
      <c r="I498" s="117">
        <v>10926.4375</v>
      </c>
      <c r="J498" s="118">
        <v>11748.6875</v>
      </c>
      <c r="K498" s="117">
        <v>15006.0625</v>
      </c>
      <c r="L498" s="80">
        <v>16445</v>
      </c>
      <c r="M498" s="80">
        <v>17678.375</v>
      </c>
      <c r="N498" s="15"/>
    </row>
    <row r="499" ht="18.75" customHeight="1" spans="1:14">
      <c r="A499" s="89" t="s">
        <v>18</v>
      </c>
      <c r="B499" s="117">
        <v>5664.0375</v>
      </c>
      <c r="C499" s="117">
        <v>6041.95625</v>
      </c>
      <c r="D499" s="118">
        <v>6578</v>
      </c>
      <c r="E499" s="117">
        <v>6970.15</v>
      </c>
      <c r="F499" s="117">
        <v>7400.25</v>
      </c>
      <c r="G499" s="118">
        <v>7591.58125</v>
      </c>
      <c r="H499" s="117">
        <v>8613.06875</v>
      </c>
      <c r="I499" s="117">
        <v>9560.2375</v>
      </c>
      <c r="J499" s="118">
        <v>9867</v>
      </c>
      <c r="K499" s="117">
        <v>12744.875</v>
      </c>
      <c r="L499" s="80">
        <v>13978.25</v>
      </c>
      <c r="M499" s="80">
        <v>15108.84375</v>
      </c>
      <c r="N499" s="15"/>
    </row>
    <row r="500" ht="18.75" customHeight="1" spans="1:14">
      <c r="A500" s="89" t="s">
        <v>19</v>
      </c>
      <c r="B500" s="117">
        <v>4620.4125</v>
      </c>
      <c r="C500" s="117">
        <v>4941.40625</v>
      </c>
      <c r="D500" s="118">
        <v>5344.625</v>
      </c>
      <c r="E500" s="117">
        <v>5695.6625</v>
      </c>
      <c r="F500" s="117">
        <v>6048.28125</v>
      </c>
      <c r="G500" s="118">
        <v>6676.0375</v>
      </c>
      <c r="H500" s="117">
        <v>7014.425</v>
      </c>
      <c r="I500" s="117">
        <v>7782.9125</v>
      </c>
      <c r="J500" s="118">
        <v>8222.5</v>
      </c>
      <c r="K500" s="117">
        <v>10546.9375</v>
      </c>
      <c r="L500" s="80">
        <v>11636.41875</v>
      </c>
      <c r="M500" s="80">
        <v>12362.2125</v>
      </c>
      <c r="N500" s="15"/>
    </row>
    <row r="501" ht="18.75" customHeight="1" spans="1:14">
      <c r="A501" s="89" t="s">
        <v>20</v>
      </c>
      <c r="B501" s="117">
        <v>4218.775</v>
      </c>
      <c r="C501" s="117">
        <v>4316.8125</v>
      </c>
      <c r="D501" s="118">
        <v>4561.90625</v>
      </c>
      <c r="E501" s="117">
        <v>4732.68125</v>
      </c>
      <c r="F501" s="117">
        <v>5180.175</v>
      </c>
      <c r="G501" s="118">
        <v>5399.96875</v>
      </c>
      <c r="H501" s="117">
        <v>5558.09375</v>
      </c>
      <c r="I501" s="117">
        <v>5988.19375</v>
      </c>
      <c r="J501" s="118">
        <v>6865.7875</v>
      </c>
      <c r="K501" s="117">
        <v>8048.5625</v>
      </c>
      <c r="L501" s="80">
        <v>8756.9625</v>
      </c>
      <c r="M501" s="80">
        <v>9182.31875</v>
      </c>
      <c r="N501" s="15"/>
    </row>
    <row r="502" ht="18.75" customHeight="1" spans="1:14">
      <c r="A502" s="89" t="s">
        <v>21</v>
      </c>
      <c r="B502" s="117">
        <v>3355.4125</v>
      </c>
      <c r="C502" s="117">
        <v>3426.56875</v>
      </c>
      <c r="D502" s="118">
        <v>3602.0875</v>
      </c>
      <c r="E502" s="117">
        <v>3722.2625</v>
      </c>
      <c r="F502" s="117">
        <v>4043.25625</v>
      </c>
      <c r="G502" s="118">
        <v>4214.03125</v>
      </c>
      <c r="H502" s="117">
        <v>4327.88125</v>
      </c>
      <c r="I502" s="117">
        <v>4633.0625</v>
      </c>
      <c r="J502" s="118">
        <v>5273.46875</v>
      </c>
      <c r="K502" s="117">
        <v>6132.0875</v>
      </c>
      <c r="L502" s="80">
        <v>6647.575</v>
      </c>
      <c r="M502" s="80">
        <v>6955.91875</v>
      </c>
      <c r="N502" s="15"/>
    </row>
    <row r="503" ht="18.75" customHeight="1" spans="1:14">
      <c r="A503" s="89" t="s">
        <v>22</v>
      </c>
      <c r="B503" s="117">
        <v>2528.41875</v>
      </c>
      <c r="C503" s="117">
        <v>2567.95</v>
      </c>
      <c r="D503" s="118">
        <v>2665.9875</v>
      </c>
      <c r="E503" s="117">
        <v>2733.98125</v>
      </c>
      <c r="F503" s="117">
        <v>2917.40625</v>
      </c>
      <c r="G503" s="118">
        <v>3036</v>
      </c>
      <c r="H503" s="117">
        <v>3099.25</v>
      </c>
      <c r="I503" s="117">
        <v>3273.1875</v>
      </c>
      <c r="J503" s="118">
        <v>3660.59375</v>
      </c>
      <c r="K503" s="117">
        <v>4168.175</v>
      </c>
      <c r="L503" s="80">
        <v>4473.35625</v>
      </c>
      <c r="M503" s="80">
        <v>4656.78125</v>
      </c>
      <c r="N503" s="15"/>
    </row>
    <row r="504" ht="18.75" customHeight="1" spans="1:14">
      <c r="A504" s="89" t="s">
        <v>23</v>
      </c>
      <c r="B504" s="117">
        <v>7599.4875</v>
      </c>
      <c r="C504" s="117">
        <v>8107.06875</v>
      </c>
      <c r="D504" s="118">
        <v>8915.0875</v>
      </c>
      <c r="E504" s="117">
        <v>9503.3125</v>
      </c>
      <c r="F504" s="117">
        <v>10271.8</v>
      </c>
      <c r="G504" s="118">
        <v>11299.6125</v>
      </c>
      <c r="H504" s="117">
        <v>12325.84375</v>
      </c>
      <c r="I504" s="117">
        <v>12717.99375</v>
      </c>
      <c r="J504" s="118">
        <v>13986.15625</v>
      </c>
      <c r="K504" s="117">
        <v>17630.9375</v>
      </c>
      <c r="L504" s="80">
        <v>19817.80625</v>
      </c>
      <c r="M504" s="80">
        <v>21275.71875</v>
      </c>
      <c r="N504" s="15"/>
    </row>
    <row r="505" ht="18.75" customHeight="1" spans="1:14">
      <c r="A505" s="89" t="s">
        <v>24</v>
      </c>
      <c r="B505" s="117">
        <v>8611.4875</v>
      </c>
      <c r="C505" s="117">
        <v>7695.94375</v>
      </c>
      <c r="D505" s="118">
        <v>8503.9625</v>
      </c>
      <c r="E505" s="117">
        <v>9092.1875</v>
      </c>
      <c r="F505" s="117">
        <v>9860.675</v>
      </c>
      <c r="G505" s="118">
        <v>10888.4875</v>
      </c>
      <c r="H505" s="117">
        <v>11914.71875</v>
      </c>
      <c r="I505" s="117">
        <v>12306.86875</v>
      </c>
      <c r="J505" s="118">
        <v>13575.03125</v>
      </c>
      <c r="K505" s="117">
        <v>17219.8125</v>
      </c>
      <c r="L505" s="80">
        <v>19406.68125</v>
      </c>
      <c r="M505" s="80">
        <v>20864.59375</v>
      </c>
      <c r="N505" s="15"/>
    </row>
    <row r="506" ht="18.75" customHeight="1" spans="1:14">
      <c r="A506" s="89" t="s">
        <v>69</v>
      </c>
      <c r="B506" s="117">
        <v>9002.05625</v>
      </c>
      <c r="C506" s="117">
        <v>9859.09375</v>
      </c>
      <c r="D506" s="118">
        <v>10621.25625</v>
      </c>
      <c r="E506" s="117">
        <v>11440.34375</v>
      </c>
      <c r="F506" s="117">
        <v>11903.65</v>
      </c>
      <c r="G506" s="118">
        <v>12804.9625</v>
      </c>
      <c r="H506" s="117">
        <v>13377.375</v>
      </c>
      <c r="I506" s="117">
        <v>14626.5625</v>
      </c>
      <c r="J506" s="118">
        <v>16225.20625</v>
      </c>
      <c r="K506" s="117">
        <v>20094.525</v>
      </c>
      <c r="L506" s="80">
        <v>22414.21875</v>
      </c>
      <c r="M506" s="80">
        <v>23962.2625</v>
      </c>
      <c r="N506" s="15"/>
    </row>
    <row r="507" ht="18.75" customHeight="1" spans="1:14">
      <c r="A507" s="89" t="s">
        <v>27</v>
      </c>
      <c r="B507" s="117">
        <v>11876.76875</v>
      </c>
      <c r="C507" s="117">
        <v>12476.0625</v>
      </c>
      <c r="D507" s="118">
        <v>12950.4375</v>
      </c>
      <c r="E507" s="117">
        <v>13703.1125</v>
      </c>
      <c r="F507" s="117">
        <v>14484.25</v>
      </c>
      <c r="G507" s="118">
        <v>15679.675</v>
      </c>
      <c r="H507" s="117">
        <v>16686.93125</v>
      </c>
      <c r="I507" s="117">
        <v>18918.075</v>
      </c>
      <c r="J507" s="118">
        <v>22331.99375</v>
      </c>
      <c r="K507" s="117">
        <v>27039.375</v>
      </c>
      <c r="L507" s="80">
        <v>29863.4875</v>
      </c>
      <c r="M507" s="80">
        <v>31558.5875</v>
      </c>
      <c r="N507" s="15"/>
    </row>
    <row r="508" ht="18.75" customHeight="1" spans="1:14">
      <c r="A508" s="115" t="s">
        <v>70</v>
      </c>
      <c r="B508" s="117">
        <v>21207.725</v>
      </c>
      <c r="C508" s="117">
        <v>21928.775</v>
      </c>
      <c r="D508" s="118">
        <v>22531.23125</v>
      </c>
      <c r="E508" s="117">
        <v>23212.75</v>
      </c>
      <c r="F508" s="117">
        <v>23974.9125</v>
      </c>
      <c r="G508" s="118">
        <v>25665.26875</v>
      </c>
      <c r="H508" s="117">
        <v>26585.55625</v>
      </c>
      <c r="I508" s="117">
        <v>28577.93125</v>
      </c>
      <c r="J508" s="118">
        <v>31945.99375</v>
      </c>
      <c r="K508" s="117">
        <v>37802.94375</v>
      </c>
      <c r="L508" s="80">
        <v>41316.48125</v>
      </c>
      <c r="M508" s="80">
        <v>43425.86875</v>
      </c>
      <c r="N508" s="15"/>
    </row>
    <row r="509" ht="18.75" customHeight="1" spans="1:14">
      <c r="A509" s="111" t="s">
        <v>32</v>
      </c>
      <c r="B509" s="117">
        <v>2460.425</v>
      </c>
      <c r="C509" s="117">
        <v>2507.8625</v>
      </c>
      <c r="D509" s="118">
        <v>2672.3125</v>
      </c>
      <c r="E509" s="117">
        <v>2939.54375</v>
      </c>
      <c r="F509" s="117">
        <v>3143.525</v>
      </c>
      <c r="G509" s="118">
        <v>3322.20625</v>
      </c>
      <c r="H509" s="117">
        <v>3589.4375</v>
      </c>
      <c r="I509" s="117">
        <v>3700.125</v>
      </c>
      <c r="J509" s="118">
        <v>4111.25</v>
      </c>
      <c r="K509" s="117">
        <v>4674.175</v>
      </c>
      <c r="L509" s="80">
        <v>5010.98125</v>
      </c>
      <c r="M509" s="80">
        <v>5214.9625</v>
      </c>
      <c r="N509" s="15"/>
    </row>
    <row r="510" ht="18.75" customHeight="1" spans="1:14">
      <c r="A510" s="89" t="s">
        <v>81</v>
      </c>
      <c r="B510" s="117">
        <v>6884.7625</v>
      </c>
      <c r="C510" s="117">
        <v>7175.7125</v>
      </c>
      <c r="D510" s="118">
        <v>7275.33125</v>
      </c>
      <c r="E510" s="117">
        <v>7597.90625</v>
      </c>
      <c r="F510" s="117">
        <v>7942.61875</v>
      </c>
      <c r="G510" s="118">
        <v>8775.9375</v>
      </c>
      <c r="H510" s="117">
        <v>9367.325</v>
      </c>
      <c r="I510" s="117">
        <v>10297.1</v>
      </c>
      <c r="J510" s="118">
        <v>11522.56875</v>
      </c>
      <c r="K510" s="117">
        <v>14164.8375</v>
      </c>
      <c r="L510" s="80">
        <v>15752.4125</v>
      </c>
      <c r="M510" s="80">
        <v>16704.325</v>
      </c>
      <c r="N510" s="15"/>
    </row>
    <row r="511" ht="18.75" customHeight="1" spans="1:14">
      <c r="A511" s="89" t="s">
        <v>82</v>
      </c>
      <c r="B511" s="117">
        <v>8940.3875</v>
      </c>
      <c r="C511" s="117">
        <v>9231.3375</v>
      </c>
      <c r="D511" s="118">
        <v>9330.95625</v>
      </c>
      <c r="E511" s="117">
        <v>9653.53125</v>
      </c>
      <c r="F511" s="117">
        <v>9998.24375</v>
      </c>
      <c r="G511" s="118">
        <v>10831.5625</v>
      </c>
      <c r="H511" s="117">
        <v>11422.95</v>
      </c>
      <c r="I511" s="117">
        <v>12352.725</v>
      </c>
      <c r="J511" s="118">
        <v>13578.19375</v>
      </c>
      <c r="K511" s="117">
        <v>16220.4625</v>
      </c>
      <c r="L511" s="80">
        <v>17808.0375</v>
      </c>
      <c r="M511" s="80">
        <v>18759.95</v>
      </c>
      <c r="N511" s="15"/>
    </row>
    <row r="512" ht="18.75" customHeight="1" spans="1:14">
      <c r="A512" s="89" t="s">
        <v>39</v>
      </c>
      <c r="B512" s="117">
        <v>6166.875</v>
      </c>
      <c r="C512" s="117">
        <v>6970.15</v>
      </c>
      <c r="D512" s="118">
        <v>7069.76875</v>
      </c>
      <c r="E512" s="117">
        <v>7392.34375</v>
      </c>
      <c r="F512" s="117">
        <v>7737.05625</v>
      </c>
      <c r="G512" s="118">
        <v>8364.8125</v>
      </c>
      <c r="H512" s="117">
        <v>8750.6375</v>
      </c>
      <c r="I512" s="117">
        <v>9474.85</v>
      </c>
      <c r="J512" s="118">
        <v>10488.43125</v>
      </c>
      <c r="K512" s="117">
        <v>12931.4625</v>
      </c>
      <c r="L512" s="80">
        <v>14397.28125</v>
      </c>
      <c r="M512" s="80">
        <v>15278.0375</v>
      </c>
      <c r="N512" s="15"/>
    </row>
    <row r="513" ht="18.75" customHeight="1" spans="1:14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 ht="18.75" customHeight="1" spans="1: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 ht="18.75" customHeight="1" spans="1:14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 ht="18.75" customHeight="1" spans="1:14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 ht="18.75" customHeight="1" spans="1:14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 ht="18.75" customHeight="1" spans="1:14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 ht="18.75" customHeight="1" spans="1:14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 ht="18.75" customHeight="1" spans="1:14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 ht="18.75" customHeight="1" spans="1:14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 ht="18.75" customHeight="1" spans="1:14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 ht="18.75" customHeight="1" spans="1:14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 ht="18.75" customHeight="1" spans="1:1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 ht="18.75" customHeight="1" spans="1:14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 ht="18.75" customHeight="1" spans="1:14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 ht="18.75" customHeight="1" spans="1:14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 ht="18.75" customHeight="1" spans="1:14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 ht="18.75" customHeight="1" spans="1:14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 ht="18.75" customHeight="1" spans="1:14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 ht="18.75" customHeight="1" spans="1:14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 ht="18.75" customHeight="1" spans="1:14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 ht="18.75" customHeight="1" spans="1:14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 ht="18.75" customHeight="1" spans="1:1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 ht="18.75" customHeight="1" spans="1:14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 ht="18.75" customHeight="1" spans="1:14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 ht="18.75" customHeight="1" spans="1:14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 ht="18.75" customHeight="1" spans="1:14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 ht="18.75" customHeight="1" spans="1:14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 ht="18.75" customHeight="1" spans="1:14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 ht="18.75" customHeight="1" spans="1:14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 ht="18.75" customHeight="1" spans="1:14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 ht="18.75" customHeight="1" spans="1:14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 ht="18.75" customHeight="1" spans="1:1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 ht="18.75" customHeight="1" spans="1:14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 ht="18.75" customHeight="1" spans="1:14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 ht="18.75" customHeight="1" spans="1:14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 ht="18.75" customHeight="1" spans="1:14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 ht="18.75" customHeight="1" spans="1:14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 ht="18.75" customHeight="1" spans="1:14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 ht="18.75" customHeight="1" spans="1:14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 ht="18.75" customHeight="1" spans="1:14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 ht="18.75" customHeight="1" spans="1:14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 ht="18.75" customHeight="1" spans="1:1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 ht="18.75" customHeight="1" spans="1:14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 ht="18.75" customHeight="1" spans="1:14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 ht="18.75" customHeight="1" spans="1:14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 ht="18.75" customHeight="1" spans="1:14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 ht="18.75" customHeight="1" spans="1:14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 ht="18.75" customHeight="1" spans="1:14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 ht="18.75" customHeight="1" spans="1:14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 ht="18.75" customHeight="1" spans="1:14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 ht="18.75" customHeight="1" spans="1:14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 ht="18.75" customHeight="1" spans="1:1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 ht="18.75" customHeight="1" spans="1:14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 ht="18.75" customHeight="1" spans="1:14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 ht="18.75" customHeight="1" spans="1:14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 ht="18.75" customHeight="1" spans="1:14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 ht="18.75" customHeight="1" spans="1:14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 ht="18.75" customHeight="1" spans="1:14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 ht="18.75" customHeight="1" spans="1:14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 ht="18.75" customHeight="1" spans="1:14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 ht="18.75" customHeight="1" spans="1:14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 ht="18.75" customHeight="1" spans="1:1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 ht="18.75" customHeight="1" spans="1:14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 ht="18.75" customHeight="1" spans="1:14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 ht="18.75" customHeight="1" spans="1:14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 ht="18.75" customHeight="1" spans="1:14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 ht="18.75" customHeight="1" spans="1:14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 ht="18.75" customHeight="1" spans="1:14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 ht="18.75" customHeight="1" spans="1:14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 ht="18.75" customHeight="1" spans="1:14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 ht="18.75" customHeight="1" spans="1:14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 ht="18.75" customHeight="1" spans="1:1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 ht="18.75" customHeight="1" spans="1:14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 ht="18.75" customHeight="1" spans="1:14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 ht="18.75" customHeight="1" spans="1:14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 ht="18.75" customHeight="1" spans="1:14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 ht="18.75" customHeight="1" spans="1:14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 ht="18.75" customHeight="1" spans="1:14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 ht="18.75" customHeight="1" spans="1:14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 ht="18.75" customHeight="1" spans="1:14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 ht="18.75" customHeight="1" spans="1:14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 ht="18.75" customHeight="1" spans="1:1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 ht="18.75" customHeight="1" spans="1:14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 ht="18.75" customHeight="1" spans="1:14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 ht="18.75" customHeight="1" spans="1:14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 ht="18.75" customHeight="1" spans="1:14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 ht="18.75" customHeight="1" spans="1:14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 ht="18.75" customHeight="1" spans="1:14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 ht="18.75" customHeight="1" spans="1:14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 ht="18.75" customHeight="1" spans="1:14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 ht="18.75" customHeight="1" spans="1:14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 ht="18.75" customHeight="1" spans="1:1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 ht="18.75" customHeight="1" spans="1:14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 ht="18.75" customHeight="1" spans="1:14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 ht="18.75" customHeight="1" spans="1:14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 ht="18.75" customHeight="1" spans="1:14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 ht="18.75" customHeight="1" spans="1:14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 ht="18.75" customHeight="1" spans="1:14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 ht="18.75" customHeight="1" spans="1:14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 ht="18.75" customHeight="1" spans="1:14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 ht="18.75" customHeight="1" spans="1:14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 ht="18.75" customHeight="1" spans="1: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 ht="18.75" customHeight="1" spans="1:14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 ht="18.75" customHeight="1" spans="1:14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 ht="18.75" customHeight="1" spans="1:14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 ht="18.75" customHeight="1" spans="1:14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 ht="18.75" customHeight="1" spans="1:14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 ht="18.75" customHeight="1" spans="1:14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 ht="18.75" customHeight="1" spans="1:14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 ht="18.75" customHeight="1" spans="1:14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 ht="18.75" customHeight="1" spans="1:14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 ht="18.75" customHeight="1" spans="1:1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 ht="18.75" customHeight="1" spans="1:14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 ht="18.75" customHeight="1" spans="1:14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 ht="18.75" customHeight="1" spans="1:14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 ht="18.75" customHeight="1" spans="1:14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 ht="18.75" customHeight="1" spans="1:14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 ht="18.75" customHeight="1" spans="1:14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 ht="18.75" customHeight="1" spans="1:14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 ht="18.75" customHeight="1" spans="1:14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 ht="18.75" customHeight="1" spans="1:14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 ht="18.75" customHeight="1" spans="1:1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 ht="18.75" customHeight="1" spans="1:14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 ht="18.75" customHeight="1" spans="1:14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 ht="18.75" customHeight="1" spans="1:14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 ht="18.75" customHeight="1" spans="1:14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 ht="18.75" customHeight="1" spans="1:14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 ht="18.75" customHeight="1" spans="1:14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 ht="18.75" customHeight="1" spans="1:14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 ht="18.75" customHeight="1" spans="1:14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 ht="18.75" customHeight="1" spans="1:14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 ht="18.75" customHeight="1" spans="1:1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 ht="18.75" customHeight="1" spans="1:14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 ht="18.75" customHeight="1" spans="1:14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 ht="18.75" customHeight="1" spans="1:14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 ht="18.75" customHeight="1" spans="1:14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 ht="18.75" customHeight="1" spans="1:14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 ht="18.75" customHeight="1" spans="1:14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 ht="18.75" customHeight="1" spans="1:14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 ht="18.75" customHeight="1" spans="1:14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 ht="18.75" customHeight="1" spans="1:14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 ht="18.75" customHeight="1" spans="1:1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 ht="18.75" customHeight="1" spans="1:14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 ht="18.75" customHeight="1" spans="1:14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 ht="18.75" customHeight="1" spans="1:14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 ht="18.75" customHeight="1" spans="1:14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 ht="18.75" customHeight="1" spans="1:14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 ht="18.75" customHeight="1" spans="1:14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 ht="18.75" customHeight="1" spans="1:14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 ht="18.75" customHeight="1" spans="1:14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 ht="18.75" customHeight="1" spans="1:14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 ht="18.75" customHeight="1" spans="1:1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 ht="18.75" customHeight="1" spans="1:14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 ht="18.75" customHeight="1" spans="1:14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 ht="18.75" customHeight="1" spans="1:14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 ht="18.75" customHeight="1" spans="1:14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 ht="18.75" customHeight="1" spans="1:14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 ht="18.75" customHeight="1" spans="1:14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 ht="18.75" customHeight="1" spans="1:14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 ht="18.75" customHeight="1" spans="1:14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 ht="18.75" customHeight="1" spans="1:14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 ht="18.75" customHeight="1" spans="1:1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 ht="18.75" customHeight="1" spans="1:14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 ht="18.75" customHeight="1" spans="1:14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 ht="18.75" customHeight="1" spans="1:14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 ht="18.75" customHeight="1" spans="1:14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 ht="18.75" customHeight="1" spans="1:14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 ht="18.75" customHeight="1" spans="1:14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 ht="18.75" customHeight="1" spans="1:14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 ht="18.75" customHeight="1" spans="1:14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 ht="18.75" customHeight="1" spans="1:14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 ht="18.75" customHeight="1" spans="1:1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 ht="18.75" customHeight="1" spans="1:14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 ht="18.75" customHeight="1" spans="1:14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 ht="18.75" customHeight="1" spans="1:14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 ht="18.75" customHeight="1" spans="1:14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 ht="18.75" customHeight="1" spans="1:14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 ht="18.75" customHeight="1" spans="1:14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 ht="18.75" customHeight="1" spans="1:14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 ht="18.75" customHeight="1" spans="1:14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 ht="18.75" customHeight="1" spans="1:14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 ht="18.75" customHeight="1" spans="1:1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 ht="18.75" customHeight="1" spans="1:14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 ht="18.75" customHeight="1" spans="1:14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 ht="18.75" customHeight="1" spans="1:14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 ht="18.75" customHeight="1" spans="1:14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 ht="18.75" customHeight="1" spans="1:14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 ht="18.75" customHeight="1" spans="1:14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 ht="18.75" customHeight="1" spans="1:14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 ht="18.75" customHeight="1" spans="1:14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 ht="18.75" customHeight="1" spans="1:14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 ht="18.75" customHeight="1" spans="1:1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 ht="18.75" customHeight="1" spans="1:14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 ht="18.75" customHeight="1" spans="1:14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 ht="18.75" customHeight="1" spans="1:14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 ht="18.75" customHeight="1" spans="1:14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 ht="18.75" customHeight="1" spans="1:14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 ht="18.75" customHeight="1" spans="1:14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 ht="18.75" customHeight="1" spans="1:14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 ht="18.75" customHeight="1" spans="1:14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 ht="18.75" customHeight="1" spans="1:14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 ht="18.75" customHeight="1" spans="1: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 ht="18.75" customHeight="1" spans="1:14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 ht="18.75" customHeight="1" spans="1:14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 ht="18.75" customHeight="1" spans="1:14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 ht="18.75" customHeight="1" spans="1:14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 ht="18.75" customHeight="1" spans="1:14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 ht="18.75" customHeight="1" spans="1:14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 ht="18.75" customHeight="1" spans="1:14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 ht="18.75" customHeight="1" spans="1:14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 ht="18.75" customHeight="1" spans="1:14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 ht="18.75" customHeight="1" spans="1:1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 ht="18.75" customHeight="1" spans="1:14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 ht="18.75" customHeight="1" spans="1:14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 ht="18.75" customHeight="1" spans="1:14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 ht="18.75" customHeight="1" spans="1:14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 ht="18.75" customHeight="1" spans="1:14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 ht="18.75" customHeight="1" spans="1:14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 ht="18.75" customHeight="1" spans="1:14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 ht="18.75" customHeight="1" spans="1:14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 ht="18.75" customHeight="1" spans="1:14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 ht="18.75" customHeight="1" spans="1:1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 ht="18.75" customHeight="1" spans="1:14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 ht="18.75" customHeight="1" spans="1:14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 ht="18.75" customHeight="1" spans="1:14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 ht="18.75" customHeight="1" spans="1:14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 ht="18.75" customHeight="1" spans="1:14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 ht="18.75" customHeight="1" spans="1:14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 ht="18.75" customHeight="1" spans="1:14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 ht="18.75" customHeight="1" spans="1:14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 ht="18.75" customHeight="1" spans="1:14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 ht="18.75" customHeight="1" spans="1:1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 ht="18.75" customHeight="1" spans="1:14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 ht="18.75" customHeight="1" spans="1:14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 ht="18.75" customHeight="1" spans="1:14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 ht="18.75" customHeight="1" spans="1:14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 ht="18.75" customHeight="1" spans="1:14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 ht="18.75" customHeight="1" spans="1:14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 ht="18.75" customHeight="1" spans="1:14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 ht="18.75" customHeight="1" spans="1:14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 ht="18.75" customHeight="1" spans="1:14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 ht="18.75" customHeight="1" spans="1:1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 ht="18.75" customHeight="1" spans="1:14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 ht="18.75" customHeight="1" spans="1:14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 ht="18.75" customHeight="1" spans="1:14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 ht="18.75" customHeight="1" spans="1:14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 ht="18.75" customHeight="1" spans="1:14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 ht="18.75" customHeight="1" spans="1:14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 ht="18.75" customHeight="1" spans="1:14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 ht="18.75" customHeight="1" spans="1:14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 ht="18.75" customHeight="1" spans="1:14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 ht="18.75" customHeight="1" spans="1:1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 ht="18.75" customHeight="1" spans="1:14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 ht="18.75" customHeight="1" spans="1:14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 ht="18.75" customHeight="1" spans="1:14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 ht="18.75" customHeight="1" spans="1:14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 ht="18.75" customHeight="1" spans="1:14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 ht="18.75" customHeight="1" spans="1:14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 ht="18.75" customHeight="1" spans="1:14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 ht="18.75" customHeight="1" spans="1:14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 ht="18.75" customHeight="1" spans="1:14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 ht="18.75" customHeight="1" spans="1:1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 ht="18.75" customHeight="1" spans="1:14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 ht="18.75" customHeight="1" spans="1:14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 ht="18.75" customHeight="1" spans="1:14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 ht="18.75" customHeight="1" spans="1:14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 ht="18.75" customHeight="1" spans="1:14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 ht="18.75" customHeight="1" spans="1:14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 ht="18.75" customHeight="1" spans="1:14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 ht="18.75" customHeight="1" spans="1:14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 ht="18.75" customHeight="1" spans="1:14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 ht="18.75" customHeight="1" spans="1:1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 ht="18.75" customHeight="1" spans="1:14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 ht="18.75" customHeight="1" spans="1:14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 ht="18.75" customHeight="1" spans="1:14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 ht="18.75" customHeight="1" spans="1:14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 ht="18.75" customHeight="1" spans="1:14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 ht="18.75" customHeight="1" spans="1:14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 ht="18.75" customHeight="1" spans="1:14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 ht="18.75" customHeight="1" spans="1:14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 ht="18.75" customHeight="1" spans="1:14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 ht="18.75" customHeight="1" spans="1:1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 ht="18.75" customHeight="1" spans="1:14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 ht="18.75" customHeight="1" spans="1:14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 ht="18.75" customHeight="1" spans="1:14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 ht="18.75" customHeight="1" spans="1:14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 ht="18.75" customHeight="1" spans="1:14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 ht="18.75" customHeight="1" spans="1:14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 ht="18.75" customHeight="1" spans="1:14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 ht="18.75" customHeight="1" spans="1:14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 ht="18.75" customHeight="1" spans="1:14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 ht="18.75" customHeight="1" spans="1:1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 ht="18.75" customHeight="1" spans="1:14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 ht="18.75" customHeight="1" spans="1:14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 ht="18.75" customHeight="1" spans="1:14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 ht="18.75" customHeight="1" spans="1:14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 ht="18.75" customHeight="1" spans="1:14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 ht="18.75" customHeight="1" spans="1:14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 ht="18.75" customHeight="1" spans="1:14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 ht="18.75" customHeight="1" spans="1:14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 ht="18.75" customHeight="1" spans="1:14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 ht="18.75" customHeight="1" spans="1: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 ht="18.75" customHeight="1" spans="1:14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 ht="18.75" customHeight="1" spans="1:14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 ht="18.75" customHeight="1" spans="1:14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 ht="18.75" customHeight="1" spans="1:14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 ht="18.75" customHeight="1" spans="1:14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 ht="18.75" customHeight="1" spans="1:14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 ht="18.75" customHeight="1" spans="1:14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 ht="18.75" customHeight="1" spans="1:14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 ht="18.75" customHeight="1" spans="1:14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 ht="18.75" customHeight="1" spans="1:1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 ht="18.75" customHeight="1" spans="1:14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 ht="18.75" customHeight="1" spans="1:14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 ht="18.75" customHeight="1" spans="1:14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 ht="18.75" customHeight="1" spans="1:14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 ht="18.75" customHeight="1" spans="1:14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 ht="18.75" customHeight="1" spans="1:14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 ht="18.75" customHeight="1" spans="1:14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 ht="18.75" customHeight="1" spans="1:14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 ht="18.75" customHeight="1" spans="1:14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 ht="18.75" customHeight="1" spans="1:1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 ht="18.75" customHeight="1" spans="1:14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 ht="18.75" customHeight="1" spans="1:14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 ht="18.75" customHeight="1" spans="1:14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 ht="18.75" customHeight="1" spans="1:14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 ht="18.75" customHeight="1" spans="1:14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 ht="18.75" customHeight="1" spans="1:14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 ht="18.75" customHeight="1" spans="1:14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 ht="18.75" customHeight="1" spans="1:14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 ht="18.75" customHeight="1" spans="1:14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 ht="18.75" customHeight="1" spans="1:1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 ht="18.75" customHeight="1" spans="1:14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 ht="18.75" customHeight="1" spans="1:14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 ht="18.75" customHeight="1" spans="1:14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 ht="18.75" customHeight="1" spans="1:14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 ht="18.75" customHeight="1" spans="1:14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 ht="18.75" customHeight="1" spans="1:14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 ht="18.75" customHeight="1" spans="1:14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 ht="18.75" customHeight="1" spans="1:14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 ht="18.75" customHeight="1" spans="1:14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 ht="18.75" customHeight="1" spans="1:1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 ht="18.75" customHeight="1" spans="1:14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 ht="18.75" customHeight="1" spans="1:14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 ht="18.75" customHeight="1" spans="1:14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 ht="18.75" customHeight="1" spans="1:14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 ht="18.75" customHeight="1" spans="1:14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 ht="18.75" customHeight="1" spans="1:14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 ht="18.75" customHeight="1" spans="1:14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 ht="18.75" customHeight="1" spans="1:14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 ht="18.75" customHeight="1" spans="1:14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 ht="18.75" customHeight="1" spans="1:1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 ht="18.75" customHeight="1" spans="1:14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 ht="18.75" customHeight="1" spans="1:14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 ht="18.75" customHeight="1" spans="1:14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 ht="18.75" customHeight="1" spans="1:14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 ht="18.75" customHeight="1" spans="1:14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 ht="18.75" customHeight="1" spans="1:14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 ht="18.75" customHeight="1" spans="1:14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 ht="18.75" customHeight="1" spans="1:14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 ht="18.75" customHeight="1" spans="1:14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 ht="18.75" customHeight="1" spans="1:1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 ht="18.75" customHeight="1" spans="1:14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 ht="18.75" customHeight="1" spans="1:14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 ht="18.75" customHeight="1" spans="1:14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 ht="18.75" customHeight="1" spans="1:14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 ht="18.75" customHeight="1" spans="1:14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 ht="18.75" customHeight="1" spans="1:14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 ht="18.75" customHeight="1" spans="1:14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 ht="18.75" customHeight="1" spans="1:14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 ht="18.75" customHeight="1" spans="1:14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 ht="18.75" customHeight="1" spans="1:1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 ht="18.75" customHeight="1" spans="1:14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 ht="18.75" customHeight="1" spans="1:14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 ht="18.75" customHeight="1" spans="1:14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 ht="18.75" customHeight="1" spans="1:14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 ht="18.75" customHeight="1" spans="1:14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 ht="18.75" customHeight="1" spans="1:14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 ht="18.75" customHeight="1" spans="1:14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 ht="18.75" customHeight="1" spans="1:14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 ht="18.75" customHeight="1" spans="1:14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 ht="18.75" customHeight="1" spans="1:1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 ht="18.75" customHeight="1" spans="1:14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 ht="18.75" customHeight="1" spans="1:14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 ht="18.75" customHeight="1" spans="1:14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 ht="18.75" customHeight="1" spans="1:14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 ht="18.75" customHeight="1" spans="1:14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 ht="18.75" customHeight="1" spans="1:14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 ht="18.75" customHeight="1" spans="1:14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 ht="18.75" customHeight="1" spans="1:14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 ht="18.75" customHeight="1" spans="1:14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 ht="18.75" customHeight="1" spans="1:1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 ht="18.75" customHeight="1" spans="1:14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 ht="18.75" customHeight="1" spans="1:14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 ht="18.75" customHeight="1" spans="1:14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 ht="18.75" customHeight="1" spans="1:14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 ht="18.75" customHeight="1" spans="1:14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 ht="18.75" customHeight="1" spans="1:14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 ht="18.75" customHeight="1" spans="1:14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 ht="18.75" customHeight="1" spans="1:14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 ht="18.75" customHeight="1" spans="1:14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 ht="18.75" customHeight="1" spans="1: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 ht="18.75" customHeight="1" spans="1:14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 ht="18.75" customHeight="1" spans="1:14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 ht="18.75" customHeight="1" spans="1:14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 ht="18.75" customHeight="1" spans="1:14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 ht="18.75" customHeight="1" spans="1:14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 ht="18.75" customHeight="1" spans="1:14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 ht="18.75" customHeight="1" spans="1:14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 ht="18.75" customHeight="1" spans="1:14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 ht="18.75" customHeight="1" spans="1:14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 ht="18.75" customHeight="1" spans="1:1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 ht="18.75" customHeight="1" spans="1:14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 ht="18.75" customHeight="1" spans="1:14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 ht="18.75" customHeight="1" spans="1:14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 ht="18.75" customHeight="1" spans="1:14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 ht="18.75" customHeight="1" spans="1:14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 ht="18.75" customHeight="1" spans="1:14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 ht="18.75" customHeight="1" spans="1:14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 ht="18.75" customHeight="1" spans="1:14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 ht="18.75" customHeight="1" spans="1:14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 ht="18.75" customHeight="1" spans="1:1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 ht="18.75" customHeight="1" spans="1:14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 ht="18.75" customHeight="1" spans="1:14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 ht="18.75" customHeight="1" spans="1:14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 ht="18.75" customHeight="1" spans="1:14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 ht="18.75" customHeight="1" spans="1:14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 ht="18.75" customHeight="1" spans="1:14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 ht="18.75" customHeight="1" spans="1:14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 ht="18.75" customHeight="1" spans="1:14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 ht="18.75" customHeight="1" spans="1:14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 ht="18.75" customHeight="1" spans="1:1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 ht="18.75" customHeight="1" spans="1:14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 ht="18.75" customHeight="1" spans="1:14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 ht="18.75" customHeight="1" spans="1:14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 ht="18.75" customHeight="1" spans="1:14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 ht="18.75" customHeight="1" spans="1:14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 ht="18.75" customHeight="1" spans="1:14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 ht="18.75" customHeight="1" spans="1:14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 ht="18.75" customHeight="1" spans="1:14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 ht="18.75" customHeight="1" spans="1:14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 ht="18.75" customHeight="1" spans="1:1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 ht="18.75" customHeight="1" spans="1:14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 ht="18.75" customHeight="1" spans="1:14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 ht="18.75" customHeight="1" spans="1:14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 ht="18.75" customHeight="1" spans="1:14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 ht="18.75" customHeight="1" spans="1:14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 ht="18.75" customHeight="1" spans="1:14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 ht="18.75" customHeight="1" spans="1:14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 ht="18.75" customHeight="1" spans="1:14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 ht="18.75" customHeight="1" spans="1:14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 ht="18.75" customHeight="1" spans="1:1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 ht="18.75" customHeight="1" spans="1:14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 ht="18.75" customHeight="1" spans="1:14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 ht="18.75" customHeight="1" spans="1:14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 ht="18.75" customHeight="1" spans="1:14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 ht="18.75" customHeight="1" spans="1:14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 ht="18.75" customHeight="1" spans="1:14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 ht="18.75" customHeight="1" spans="1:14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 ht="18.75" customHeight="1" spans="1:14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 ht="18.75" customHeight="1" spans="1:14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 ht="18.75" customHeight="1" spans="1:1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 ht="18.75" customHeight="1" spans="1:14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 ht="18.75" customHeight="1" spans="1:14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 ht="18.75" customHeight="1" spans="1:14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 ht="18.75" customHeight="1" spans="1:14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 ht="18.75" customHeight="1" spans="1:14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 ht="18.75" customHeight="1" spans="1:14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 ht="18.75" customHeight="1" spans="1:14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 ht="18.75" customHeight="1" spans="1:14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 ht="18.75" customHeight="1" spans="1:14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 ht="18.75" customHeight="1" spans="1:1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 ht="18.75" customHeight="1" spans="1:14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 ht="18.75" customHeight="1" spans="1:14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 ht="18.75" customHeight="1" spans="1:14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 ht="18.75" customHeight="1" spans="1:14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 ht="18.75" customHeight="1" spans="1:14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 ht="18.75" customHeight="1" spans="1:14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 ht="18.75" customHeight="1" spans="1:14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 ht="18.75" customHeight="1" spans="1:14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 ht="18.75" customHeight="1" spans="1:14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 ht="18.75" customHeight="1" spans="1:1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 ht="18.75" customHeight="1" spans="1:14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 ht="18.75" customHeight="1" spans="1:14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 ht="18.75" customHeight="1" spans="1:14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 ht="18.75" customHeight="1" spans="1:14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 ht="18.75" customHeight="1" spans="1:14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 ht="18.75" customHeight="1" spans="1:14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  <row r="1001" ht="18.75" customHeight="1" spans="1:14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</row>
    <row r="1002" ht="18.75" customHeight="1" spans="1:14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</row>
    <row r="1003" ht="18.75" customHeight="1" spans="1:14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</row>
    <row r="1004" ht="18.75" customHeight="1" spans="1:1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</row>
    <row r="1005" ht="18.75" customHeight="1" spans="1:14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</row>
    <row r="1006" ht="18.75" customHeight="1" spans="1:14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</row>
    <row r="1007" ht="18.75" customHeight="1" spans="1:14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</row>
    <row r="1008" ht="18.75" customHeight="1" spans="1:14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</row>
    <row r="1009" ht="18.75" customHeight="1" spans="1:14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</row>
    <row r="1010" ht="18.75" customHeight="1" spans="1:14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</row>
    <row r="1011" ht="18.75" customHeight="1" spans="1:14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</row>
    <row r="1012" ht="18.75" customHeight="1" spans="1:14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</row>
    <row r="1013" ht="18.75" customHeight="1" spans="1:14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</row>
    <row r="1014" ht="18.75" customHeight="1" spans="1: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</row>
    <row r="1015" ht="18.75" customHeight="1" spans="1:14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</row>
    <row r="1016" ht="18.75" customHeight="1" spans="1:14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</row>
    <row r="1017" ht="18.75" customHeight="1" spans="1:14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</row>
    <row r="1018" ht="18.75" customHeight="1" spans="1:14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</row>
    <row r="1019" ht="18.75" customHeight="1" spans="1:14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</row>
    <row r="1020" ht="18.75" customHeight="1" spans="1:14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</row>
    <row r="1021" ht="18.75" customHeight="1" spans="1:14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</row>
    <row r="1022" ht="18.75" customHeight="1" spans="1:14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</row>
    <row r="1023" ht="18.75" customHeight="1" spans="1:14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</row>
    <row r="1024" ht="18.75" customHeight="1" spans="1:1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</row>
    <row r="1025" ht="18.75" customHeight="1" spans="1:14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</row>
    <row r="1026" ht="18.75" customHeight="1" spans="1:14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</row>
    <row r="1027" ht="18.75" customHeight="1" spans="1:14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</row>
    <row r="1028" ht="18.75" customHeight="1" spans="1:14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</row>
    <row r="1029" ht="18.75" customHeight="1" spans="1:14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</row>
  </sheetData>
  <mergeCells count="110">
    <mergeCell ref="A1:M1"/>
    <mergeCell ref="A4:I4"/>
    <mergeCell ref="A5:I5"/>
    <mergeCell ref="A6:I6"/>
    <mergeCell ref="A24:M24"/>
    <mergeCell ref="A27:I27"/>
    <mergeCell ref="A28:J28"/>
    <mergeCell ref="A29:I29"/>
    <mergeCell ref="A48:M48"/>
    <mergeCell ref="A51:J51"/>
    <mergeCell ref="A52:I52"/>
    <mergeCell ref="A53:I53"/>
    <mergeCell ref="A71:M71"/>
    <mergeCell ref="A74:J74"/>
    <mergeCell ref="A75:I75"/>
    <mergeCell ref="A76:I76"/>
    <mergeCell ref="A94:M94"/>
    <mergeCell ref="A97:J97"/>
    <mergeCell ref="A98:J98"/>
    <mergeCell ref="A99:I99"/>
    <mergeCell ref="A118:M118"/>
    <mergeCell ref="A121:J121"/>
    <mergeCell ref="A122:J122"/>
    <mergeCell ref="A123:I123"/>
    <mergeCell ref="A141:M141"/>
    <mergeCell ref="A144:J144"/>
    <mergeCell ref="A145:I145"/>
    <mergeCell ref="A146:I146"/>
    <mergeCell ref="A164:M164"/>
    <mergeCell ref="A167:J167"/>
    <mergeCell ref="A168:I168"/>
    <mergeCell ref="A169:I169"/>
    <mergeCell ref="A187:M187"/>
    <mergeCell ref="A190:J190"/>
    <mergeCell ref="A191:J191"/>
    <mergeCell ref="A192:I192"/>
    <mergeCell ref="A211:M211"/>
    <mergeCell ref="A214:J214"/>
    <mergeCell ref="A215:J215"/>
    <mergeCell ref="A216:I216"/>
    <mergeCell ref="A234:M234"/>
    <mergeCell ref="A237:J237"/>
    <mergeCell ref="A238:J238"/>
    <mergeCell ref="A239:I239"/>
    <mergeCell ref="A258:M258"/>
    <mergeCell ref="A261:J261"/>
    <mergeCell ref="A262:J262"/>
    <mergeCell ref="A263:I263"/>
    <mergeCell ref="A281:M281"/>
    <mergeCell ref="A284:J284"/>
    <mergeCell ref="A285:I285"/>
    <mergeCell ref="A286:I286"/>
    <mergeCell ref="A304:M304"/>
    <mergeCell ref="A307:J307"/>
    <mergeCell ref="A308:I308"/>
    <mergeCell ref="A309:I309"/>
    <mergeCell ref="A327:M327"/>
    <mergeCell ref="A330:J330"/>
    <mergeCell ref="A331:J331"/>
    <mergeCell ref="A332:I332"/>
    <mergeCell ref="A351:M351"/>
    <mergeCell ref="A354:J354"/>
    <mergeCell ref="A355:J355"/>
    <mergeCell ref="A356:I356"/>
    <mergeCell ref="A374:M374"/>
    <mergeCell ref="A377:J377"/>
    <mergeCell ref="A378:J378"/>
    <mergeCell ref="A379:I379"/>
    <mergeCell ref="A398:M398"/>
    <mergeCell ref="A401:J401"/>
    <mergeCell ref="A402:J402"/>
    <mergeCell ref="A403:I403"/>
    <mergeCell ref="A421:M421"/>
    <mergeCell ref="A424:J424"/>
    <mergeCell ref="A425:I425"/>
    <mergeCell ref="A426:I426"/>
    <mergeCell ref="A444:M444"/>
    <mergeCell ref="A447:J447"/>
    <mergeCell ref="A448:I448"/>
    <mergeCell ref="A449:I449"/>
    <mergeCell ref="A467:M467"/>
    <mergeCell ref="A470:J470"/>
    <mergeCell ref="A471:J471"/>
    <mergeCell ref="A472:I472"/>
    <mergeCell ref="A491:M491"/>
    <mergeCell ref="A494:J494"/>
    <mergeCell ref="A495:J495"/>
    <mergeCell ref="A496:I496"/>
    <mergeCell ref="K2:M4"/>
    <mergeCell ref="K25:M27"/>
    <mergeCell ref="K49:M51"/>
    <mergeCell ref="K72:M74"/>
    <mergeCell ref="K95:M97"/>
    <mergeCell ref="K119:M121"/>
    <mergeCell ref="K142:M144"/>
    <mergeCell ref="K165:M167"/>
    <mergeCell ref="K188:M190"/>
    <mergeCell ref="K212:M214"/>
    <mergeCell ref="K422:M424"/>
    <mergeCell ref="K445:M447"/>
    <mergeCell ref="K468:M470"/>
    <mergeCell ref="K235:M237"/>
    <mergeCell ref="K259:M261"/>
    <mergeCell ref="K282:M284"/>
    <mergeCell ref="K305:M307"/>
    <mergeCell ref="K328:M330"/>
    <mergeCell ref="K352:M354"/>
    <mergeCell ref="K375:M377"/>
    <mergeCell ref="K399:M401"/>
    <mergeCell ref="K492:M494"/>
  </mergeCells>
  <printOptions horizontalCentered="1" verticalCentered="1"/>
  <pageMargins left="0.25" right="0.25" top="0.75" bottom="0.75" header="0" footer="0"/>
  <pageSetup paperSize="9" orientation="landscape"/>
  <headerFooter/>
  <rowBreaks count="20" manualBreakCount="20">
    <brk id="23" max="0" man="1"/>
    <brk id="70" max="0" man="1"/>
    <brk id="93" max="0" man="1"/>
    <brk id="117" max="0" man="1"/>
    <brk id="140" max="0" man="1"/>
    <brk id="163" max="0" man="1"/>
    <brk id="186" max="0" man="1"/>
    <brk id="210" max="0" man="1"/>
    <brk id="233" max="0" man="1"/>
    <brk id="257" max="0" man="1"/>
    <brk id="280" max="0" man="1"/>
    <brk id="303" max="0" man="1"/>
    <brk id="326" max="0" man="1"/>
    <brk id="350" max="0" man="1"/>
    <brk id="373" max="0" man="1"/>
    <brk id="397" max="0" man="1"/>
    <brk id="420" max="0" man="1"/>
    <brk id="443" max="0" man="1"/>
    <brk id="466" max="0" man="1"/>
    <brk id="490" max="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5"/>
  <sheetViews>
    <sheetView workbookViewId="0">
      <selection activeCell="A1" sqref="A1:M1"/>
    </sheetView>
  </sheetViews>
  <sheetFormatPr defaultColWidth="14.4259259259259" defaultRowHeight="15" customHeight="1"/>
  <cols>
    <col min="1" max="1" width="22.4259259259259" customWidth="1"/>
    <col min="2" max="13" width="9.57407407407407" customWidth="1"/>
    <col min="14" max="14" width="8.71296296296296" customWidth="1"/>
  </cols>
  <sheetData>
    <row r="1" ht="21" customHeight="1" spans="1:14">
      <c r="A1" s="8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5"/>
    </row>
    <row r="2" ht="19.5" customHeight="1" spans="1:14">
      <c r="A2" s="35"/>
      <c r="B2" s="35"/>
      <c r="C2" s="35"/>
      <c r="D2" s="49"/>
      <c r="E2" s="35"/>
      <c r="F2" s="35"/>
      <c r="G2" s="49"/>
      <c r="H2" s="35"/>
      <c r="I2" s="35"/>
      <c r="J2" s="49"/>
      <c r="K2" s="83" t="s">
        <v>127</v>
      </c>
    </row>
    <row r="3" ht="19.5" customHeight="1" spans="1:14">
      <c r="A3" s="35"/>
      <c r="B3" s="35"/>
      <c r="C3" s="35"/>
      <c r="D3" s="49"/>
      <c r="E3" s="35"/>
      <c r="F3" s="35"/>
      <c r="G3" s="49"/>
      <c r="H3" s="35"/>
      <c r="I3" s="35"/>
      <c r="J3" s="49"/>
    </row>
    <row r="4" ht="19.5" customHeight="1" spans="1:14">
      <c r="A4" s="84" t="s">
        <v>100</v>
      </c>
      <c r="B4" s="35"/>
      <c r="C4" s="35"/>
      <c r="D4" s="49"/>
      <c r="E4" s="35"/>
      <c r="F4" s="35"/>
      <c r="G4" s="49"/>
      <c r="H4" s="35"/>
      <c r="I4" s="35"/>
      <c r="J4" s="49"/>
    </row>
    <row r="5" ht="19.5" customHeight="1" spans="1:14">
      <c r="A5" s="84" t="s">
        <v>101</v>
      </c>
      <c r="B5" s="35"/>
      <c r="C5" s="35"/>
      <c r="D5" s="49"/>
      <c r="E5" s="35"/>
      <c r="F5" s="35"/>
      <c r="G5" s="49"/>
      <c r="H5" s="35"/>
      <c r="I5" s="35"/>
      <c r="J5" s="49"/>
      <c r="K5" s="35"/>
      <c r="L5" s="35"/>
      <c r="M5" s="35"/>
    </row>
    <row r="6" ht="19.5" customHeight="1" spans="1:14">
      <c r="A6" s="85" t="s">
        <v>128</v>
      </c>
      <c r="J6" s="49"/>
      <c r="K6" s="35"/>
      <c r="L6" s="35"/>
      <c r="M6" s="35"/>
    </row>
    <row r="7" ht="27" customHeight="1" spans="1:14">
      <c r="A7" s="17"/>
      <c r="B7" s="86" t="s">
        <v>129</v>
      </c>
      <c r="C7" s="86" t="s">
        <v>130</v>
      </c>
      <c r="D7" s="86" t="s">
        <v>131</v>
      </c>
      <c r="E7" s="86" t="s">
        <v>132</v>
      </c>
      <c r="F7" s="86" t="s">
        <v>133</v>
      </c>
      <c r="G7" s="86" t="s">
        <v>134</v>
      </c>
      <c r="H7" s="86" t="s">
        <v>135</v>
      </c>
      <c r="I7" s="86" t="s">
        <v>136</v>
      </c>
      <c r="J7" s="86" t="s">
        <v>137</v>
      </c>
      <c r="K7" s="86" t="s">
        <v>138</v>
      </c>
      <c r="L7" s="86" t="s">
        <v>139</v>
      </c>
      <c r="M7" s="86" t="s">
        <v>140</v>
      </c>
    </row>
    <row r="8" ht="19.5" customHeight="1" spans="1:14">
      <c r="A8" s="87" t="s">
        <v>68</v>
      </c>
      <c r="B8" s="8">
        <f>'50 изол (каолин)'!B8*0.9</f>
        <v>2246.0625</v>
      </c>
      <c r="C8" s="8">
        <f>'50 изол (каолин)'!C8*0.9</f>
        <v>2363.13</v>
      </c>
      <c r="D8" s="88">
        <f>'50 изол (каолин)'!D8*0.9</f>
        <v>2593.18125</v>
      </c>
      <c r="E8" s="8">
        <f>'50 изол (каолин)'!E8*0.9</f>
        <v>2697.9975</v>
      </c>
      <c r="F8" s="8">
        <f>'50 изол (каолин)'!F8*0.9</f>
        <v>2960.71875</v>
      </c>
      <c r="G8" s="88">
        <f>'50 изол (каолин)'!G8*0.9</f>
        <v>3168.99</v>
      </c>
      <c r="H8" s="8">
        <f>'50 изол (каолин)'!H8*0.9</f>
        <v>3369.09375</v>
      </c>
      <c r="I8" s="8">
        <f>'50 изол (каолин)'!I8*0.9</f>
        <v>3625.00875</v>
      </c>
      <c r="J8" s="88">
        <f>'50 изол (каолин)'!J8*0.9</f>
        <v>4098.72375</v>
      </c>
      <c r="K8" s="8">
        <f>'50 изол (каолин)'!K8*0.9</f>
        <v>4810.6575</v>
      </c>
      <c r="L8" s="8">
        <f>'50 изол (каолин)'!L8*0.9</f>
        <v>5238.09</v>
      </c>
      <c r="M8" s="8">
        <f>'50 изол (каолин)'!M8*0.9</f>
        <v>5523.9525</v>
      </c>
    </row>
    <row r="9" ht="19.5" customHeight="1" spans="1:14">
      <c r="A9" s="87" t="s">
        <v>18</v>
      </c>
      <c r="B9" s="8">
        <f>'50 изол (каолин)'!B9*0.9</f>
        <v>1916.64</v>
      </c>
      <c r="C9" s="8">
        <f>'50 изол (каолин)'!C9*0.9</f>
        <v>2041.875</v>
      </c>
      <c r="D9" s="88">
        <f>'50 изол (каолин)'!D9*0.9</f>
        <v>2191.6125</v>
      </c>
      <c r="E9" s="8">
        <f>'50 изол (каолин)'!E9*0.9</f>
        <v>2371.2975</v>
      </c>
      <c r="F9" s="8">
        <f>'50 изол (каолин)'!F9*0.9</f>
        <v>2533.28625</v>
      </c>
      <c r="G9" s="88">
        <f>'50 изол (каолин)'!G9*0.9</f>
        <v>2661.24375</v>
      </c>
      <c r="H9" s="8">
        <f>'50 изол (каолин)'!H9*0.9</f>
        <v>2733.39</v>
      </c>
      <c r="I9" s="8">
        <f>'50 изол (каолин)'!I9*0.9</f>
        <v>2918.52</v>
      </c>
      <c r="J9" s="88">
        <f>'50 изол (каолин)'!J9*0.9</f>
        <v>3279.25125</v>
      </c>
      <c r="K9" s="8">
        <f>'50 изол (каолин)'!K9*0.9</f>
        <v>3819.6675</v>
      </c>
      <c r="L9" s="8">
        <f>'50 изол (каолин)'!L9*0.9</f>
        <v>4143.645</v>
      </c>
      <c r="M9" s="8">
        <f>'50 изол (каолин)'!M9*0.9</f>
        <v>4360.08375</v>
      </c>
    </row>
    <row r="10" ht="19.5" customHeight="1" spans="1:14">
      <c r="A10" s="87" t="s">
        <v>19</v>
      </c>
      <c r="B10" s="8">
        <f>'50 изол (каолин)'!B10*0.9</f>
        <v>1570.8825</v>
      </c>
      <c r="C10" s="8">
        <f>'50 изол (каолин)'!C10*0.9</f>
        <v>1677.06</v>
      </c>
      <c r="D10" s="88">
        <f>'50 изол (каолин)'!D10*0.9</f>
        <v>1787.32125</v>
      </c>
      <c r="E10" s="8">
        <f>'50 изол (каолин)'!E10*0.9</f>
        <v>1942.50375</v>
      </c>
      <c r="F10" s="8">
        <f>'50 изол (каолин)'!F10*0.9</f>
        <v>2050.0425</v>
      </c>
      <c r="G10" s="88">
        <f>'50 изол (каолин)'!G10*0.9</f>
        <v>2244.70125</v>
      </c>
      <c r="H10" s="8">
        <f>'50 изол (каолин)'!H10*0.9</f>
        <v>2293.70625</v>
      </c>
      <c r="I10" s="8">
        <f>'50 изол (каолин)'!I10*0.9</f>
        <v>2416.21875</v>
      </c>
      <c r="J10" s="88">
        <f>'50 изол (каолин)'!J10*0.9</f>
        <v>2665.3275</v>
      </c>
      <c r="K10" s="8">
        <f>'50 изол (каолин)'!K10*0.9</f>
        <v>3031.50375</v>
      </c>
      <c r="L10" s="8">
        <f>'50 изол (каолин)'!L10*0.9</f>
        <v>3250.665</v>
      </c>
      <c r="M10" s="8">
        <f>'50 изол (каолин)'!M10*0.9</f>
        <v>3397.68</v>
      </c>
    </row>
    <row r="11" ht="19.5" customHeight="1" spans="1:14">
      <c r="A11" s="87" t="s">
        <v>20</v>
      </c>
      <c r="B11" s="8">
        <f>'50 изол (каолин)'!B11*0.9</f>
        <v>1302.71625</v>
      </c>
      <c r="C11" s="8">
        <f>'50 изол (каолин)'!C11*0.9</f>
        <v>1437.48</v>
      </c>
      <c r="D11" s="88">
        <f>'50 изол (каолин)'!D11*0.9</f>
        <v>1516.4325</v>
      </c>
      <c r="E11" s="8">
        <f>'50 изол (каолин)'!E11*0.9</f>
        <v>1566.79875</v>
      </c>
      <c r="F11" s="8">
        <f>'50 изол (каолин)'!F11*0.9</f>
        <v>1712.4525</v>
      </c>
      <c r="G11" s="88">
        <f>'50 изол (каолин)'!G11*0.9</f>
        <v>1795.48875</v>
      </c>
      <c r="H11" s="8">
        <f>'50 изол (каолин)'!H11*0.9</f>
        <v>1832.2425</v>
      </c>
      <c r="I11" s="8">
        <f>'50 изол (каолин)'!I11*0.9</f>
        <v>1967.00625</v>
      </c>
      <c r="J11" s="88">
        <f>'50 изол (каолин)'!J11*0.9</f>
        <v>2150.775</v>
      </c>
      <c r="K11" s="8">
        <f>'50 изол (каолин)'!K11*0.9</f>
        <v>2632.6575</v>
      </c>
      <c r="L11" s="8">
        <f>'50 изол (каолин)'!L11*0.9</f>
        <v>2861.3475</v>
      </c>
      <c r="M11" s="8">
        <f>'50 изол (каолин)'!M11*0.9</f>
        <v>2998.83375</v>
      </c>
    </row>
    <row r="12" ht="19.5" customHeight="1" spans="1:14">
      <c r="A12" s="87" t="s">
        <v>21</v>
      </c>
      <c r="B12" s="8">
        <f>'50 изол (каолин)'!B12*0.9</f>
        <v>1117.58625</v>
      </c>
      <c r="C12" s="8">
        <f>'50 изол (каолин)'!C12*0.9</f>
        <v>1165.23</v>
      </c>
      <c r="D12" s="88">
        <f>'50 изол (каолин)'!D12*0.9</f>
        <v>1218.31875</v>
      </c>
      <c r="E12" s="8">
        <f>'50 изол (каолин)'!E12*0.9</f>
        <v>1253.71125</v>
      </c>
      <c r="F12" s="8">
        <f>'50 изол (каолин)'!F12*0.9</f>
        <v>1355.805</v>
      </c>
      <c r="G12" s="88">
        <f>'50 изол (каолин)'!G12*0.9</f>
        <v>1523.23875</v>
      </c>
      <c r="H12" s="8">
        <f>'50 изол (каолин)'!H12*0.9</f>
        <v>1547.74125</v>
      </c>
      <c r="I12" s="8">
        <f>'50 изол (каолин)'!I12*0.9</f>
        <v>1640.30625</v>
      </c>
      <c r="J12" s="88">
        <f>'50 изол (каолин)'!J12*0.9</f>
        <v>1844.49375</v>
      </c>
      <c r="K12" s="8">
        <f>'50 изол (каолин)'!K12*0.9</f>
        <v>2122.18875</v>
      </c>
      <c r="L12" s="8">
        <f>'50 изол (каолин)'!L12*0.9</f>
        <v>2289.6225</v>
      </c>
      <c r="M12" s="8">
        <f>'50 изол (каолин)'!M12*0.9</f>
        <v>2388.99375</v>
      </c>
    </row>
    <row r="13" ht="19.5" customHeight="1" spans="1:14">
      <c r="A13" s="87" t="s">
        <v>22</v>
      </c>
      <c r="B13" s="8">
        <f>'50 изол (каолин)'!B13*0.9</f>
        <v>936.54</v>
      </c>
      <c r="C13" s="8">
        <f>'50 изол (каолин)'!C13*0.9</f>
        <v>989.62875</v>
      </c>
      <c r="D13" s="88">
        <f>'50 изол (каолин)'!D13*0.9</f>
        <v>1020.9375</v>
      </c>
      <c r="E13" s="8">
        <f>'50 изол (каолин)'!E13*0.9</f>
        <v>1044.07875</v>
      </c>
      <c r="F13" s="8">
        <f>'50 изол (каолин)'!F13*0.9</f>
        <v>1105.335</v>
      </c>
      <c r="G13" s="88">
        <f>'50 изол (каолин)'!G13*0.9</f>
        <v>1151.6175</v>
      </c>
      <c r="H13" s="8">
        <f>'50 изол (каолин)'!H13*0.9</f>
        <v>1166.59125</v>
      </c>
      <c r="I13" s="8">
        <f>'50 изол (каолин)'!I13*0.9</f>
        <v>1223.76375</v>
      </c>
      <c r="J13" s="88">
        <f>'50 изол (каолин)'!J13*0.9</f>
        <v>1354.44375</v>
      </c>
      <c r="K13" s="8">
        <f>'50 изол (каолин)'!K13*0.9</f>
        <v>1523.23875</v>
      </c>
      <c r="L13" s="8">
        <f>'50 изол (каолин)'!L13*0.9</f>
        <v>1625.3325</v>
      </c>
      <c r="M13" s="8">
        <f>'50 изол (каолин)'!M13*0.9</f>
        <v>1685.2275</v>
      </c>
    </row>
    <row r="14" ht="19.5" customHeight="1" spans="1:14">
      <c r="A14" s="87" t="s">
        <v>23</v>
      </c>
      <c r="B14" s="8">
        <f>'50 изол (каолин)'!B14*0.9</f>
        <v>2583.6525</v>
      </c>
      <c r="C14" s="8">
        <f>'50 изол (каолин)'!C14*0.9</f>
        <v>2733.39</v>
      </c>
      <c r="D14" s="88">
        <f>'50 изол (каолин)'!D14*0.9</f>
        <v>2884.48875</v>
      </c>
      <c r="E14" s="8">
        <f>'50 изол (каолин)'!E14*0.9</f>
        <v>3045.11625</v>
      </c>
      <c r="F14" s="8">
        <f>'50 изол (каолин)'!F14*0.9</f>
        <v>3096.84375</v>
      </c>
      <c r="G14" s="88">
        <f>'50 изол (каолин)'!G14*0.9</f>
        <v>3249.30375</v>
      </c>
      <c r="H14" s="8">
        <f>'50 изол (каолин)'!H14*0.9</f>
        <v>3522.915</v>
      </c>
      <c r="I14" s="8">
        <f>'50 изол (каолин)'!I14*0.9</f>
        <v>3931.29</v>
      </c>
      <c r="J14" s="88">
        <f>'50 изол (каолин)'!J14*0.9</f>
        <v>4629.61125</v>
      </c>
      <c r="K14" s="8">
        <f>'50 изол (каолин)'!K14*0.9</f>
        <v>5673.69</v>
      </c>
      <c r="L14" s="8">
        <f>'50 изол (каолин)'!L14*0.9</f>
        <v>6299.865</v>
      </c>
      <c r="M14" s="8">
        <f>'50 изол (каолин)'!M14*0.9</f>
        <v>6716.4075</v>
      </c>
    </row>
    <row r="15" ht="19.5" customHeight="1" spans="1:14">
      <c r="A15" s="87" t="s">
        <v>24</v>
      </c>
      <c r="B15" s="8">
        <f>'50 изол (каолин)'!B15*0.9</f>
        <v>2379.465</v>
      </c>
      <c r="C15" s="8">
        <f>'50 изол (каолин)'!C15*0.9</f>
        <v>2529.2025</v>
      </c>
      <c r="D15" s="88">
        <f>'50 изол (каолин)'!D15*0.9</f>
        <v>2680.30125</v>
      </c>
      <c r="E15" s="8">
        <f>'50 изол (каолин)'!E15*0.9</f>
        <v>2840.92875</v>
      </c>
      <c r="F15" s="8">
        <f>'50 изол (каолин)'!F15*0.9</f>
        <v>2892.65625</v>
      </c>
      <c r="G15" s="88">
        <f>'50 изол (каолин)'!G15*0.9</f>
        <v>3045.11625</v>
      </c>
      <c r="H15" s="8">
        <f>'50 изол (каолин)'!H15*0.9</f>
        <v>3318.7275</v>
      </c>
      <c r="I15" s="8">
        <f>'50 изол (каолин)'!I15*0.9</f>
        <v>3727.1025</v>
      </c>
      <c r="J15" s="88">
        <f>'50 изол (каолин)'!J15*0.9</f>
        <v>4425.42375</v>
      </c>
      <c r="K15" s="8">
        <f>'50 изол (каолин)'!K15*0.9</f>
        <v>5469.5025</v>
      </c>
      <c r="L15" s="8">
        <f>'50 изол (каолин)'!L15*0.9</f>
        <v>6095.6775</v>
      </c>
      <c r="M15" s="8">
        <f>'50 изол (каолин)'!M15*0.9</f>
        <v>6512.22</v>
      </c>
    </row>
    <row r="16" ht="19.5" customHeight="1" spans="1:14">
      <c r="A16" s="87" t="s">
        <v>26</v>
      </c>
      <c r="B16" s="8">
        <f>'50 изол (каолин)'!B16*0.9</f>
        <v>3932.65125</v>
      </c>
      <c r="C16" s="8">
        <f>'50 изол (каолин)'!C16*0.9</f>
        <v>4086.4725</v>
      </c>
      <c r="D16" s="88">
        <f>'50 изол (каолин)'!D16*0.9</f>
        <v>4320.6075</v>
      </c>
      <c r="E16" s="8">
        <f>'50 изол (каолин)'!E16*0.9</f>
        <v>4454.01</v>
      </c>
      <c r="F16" s="8">
        <f>'50 изол (каолин)'!F16*0.9</f>
        <v>4641.8625</v>
      </c>
      <c r="G16" s="88">
        <f>'50 изол (каолин)'!G16*0.9</f>
        <v>4963.1175</v>
      </c>
      <c r="H16" s="8">
        <f>'50 изол (каолин)'!H16*0.9</f>
        <v>5251.7025</v>
      </c>
      <c r="I16" s="8">
        <f>'50 изол (каолин)'!I16*0.9</f>
        <v>5861.5425</v>
      </c>
      <c r="J16" s="88">
        <f>'50 изол (каолин)'!J16*0.9</f>
        <v>6263.11125</v>
      </c>
      <c r="K16" s="8">
        <f>'50 изол (каолин)'!K16*0.9</f>
        <v>7733.26125</v>
      </c>
      <c r="L16" s="8">
        <f>'50 изол (каолин)'!L16*0.9</f>
        <v>8615.35125</v>
      </c>
      <c r="M16" s="8">
        <f>'50 изол (каолин)'!M16*0.9</f>
        <v>9203.41125</v>
      </c>
    </row>
    <row r="17" ht="19.5" customHeight="1" spans="1:14">
      <c r="A17" s="87" t="s">
        <v>27</v>
      </c>
      <c r="B17" s="8">
        <f>'50 изол (каолин)'!B17*0.9</f>
        <v>4776.62625</v>
      </c>
      <c r="C17" s="8">
        <f>'50 изол (каолин)'!C17*0.9</f>
        <v>4908.6675</v>
      </c>
      <c r="D17" s="88">
        <f>'50 изол (каолин)'!D17*0.9</f>
        <v>5119.66125</v>
      </c>
      <c r="E17" s="8">
        <f>'50 изол (каолин)'!E17*0.9</f>
        <v>5585.20875</v>
      </c>
      <c r="F17" s="8">
        <f>'50 изол (каолин)'!F17*0.9</f>
        <v>5760.81</v>
      </c>
      <c r="G17" s="88">
        <f>'50 изол (каолин)'!G17*0.9</f>
        <v>6392.43</v>
      </c>
      <c r="H17" s="8">
        <f>'50 изол (каолин)'!H17*0.9</f>
        <v>6916.51125</v>
      </c>
      <c r="I17" s="8">
        <f>'50 изол (каолин)'!I17*0.9</f>
        <v>7524.99</v>
      </c>
      <c r="J17" s="88">
        <f>'50 изол (каолин)'!J17*0.9</f>
        <v>8784.14625</v>
      </c>
      <c r="K17" s="8">
        <f>'50 изол (каолин)'!K17*0.9</f>
        <v>10289.68875</v>
      </c>
      <c r="L17" s="8">
        <f>'50 изол (каолин)'!L17*0.9</f>
        <v>11193.55875</v>
      </c>
      <c r="M17" s="8">
        <f>'50 изол (каолин)'!M17*0.9</f>
        <v>11735.33625</v>
      </c>
    </row>
    <row r="18" ht="19.5" customHeight="1" spans="1:14">
      <c r="A18" s="87" t="s">
        <v>70</v>
      </c>
      <c r="B18" s="8">
        <f>'50 изол (каолин)'!B18*0.9</f>
        <v>8871.26625</v>
      </c>
      <c r="C18" s="8">
        <f>'50 изол (каолин)'!C18*0.9</f>
        <v>9147.6</v>
      </c>
      <c r="D18" s="88">
        <f>'50 изол (каолин)'!D18*0.9</f>
        <v>9380.37375</v>
      </c>
      <c r="E18" s="8">
        <f>'50 изол (каолин)'!E18*0.9</f>
        <v>9640.3725</v>
      </c>
      <c r="F18" s="8">
        <f>'50 изол (каолин)'!F18*0.9</f>
        <v>9934.4025</v>
      </c>
      <c r="G18" s="88">
        <f>'50 изол (каолин)'!G18*0.9</f>
        <v>10600.05375</v>
      </c>
      <c r="H18" s="8">
        <f>'50 изол (каолин)'!H18*0.9</f>
        <v>10953.97875</v>
      </c>
      <c r="I18" s="8">
        <f>'50 изол (каолин)'!I18*0.9</f>
        <v>11714.9175</v>
      </c>
      <c r="J18" s="88">
        <f>'50 изол (каолин)'!J18*0.9</f>
        <v>13138.785</v>
      </c>
      <c r="K18" s="8">
        <f>'50 изол (каолин)'!K18*0.9</f>
        <v>15492.38625</v>
      </c>
      <c r="L18" s="8">
        <f>'50 изол (каолин)'!L18*0.9</f>
        <v>16905.36375</v>
      </c>
      <c r="M18" s="8">
        <f>'50 изол (каолин)'!M18*0.9</f>
        <v>10413.5625</v>
      </c>
    </row>
    <row r="19" ht="19.5" customHeight="1" spans="1:14">
      <c r="A19" s="87" t="s">
        <v>71</v>
      </c>
      <c r="B19" s="8">
        <f>'50 изол (каолин)'!B19*0.9</f>
        <v>1075.3875</v>
      </c>
      <c r="C19" s="8">
        <f>'50 изол (каолин)'!C19*0.9</f>
        <v>1097.1675</v>
      </c>
      <c r="D19" s="88">
        <f>'50 изол (каолин)'!D19*0.9</f>
        <v>1176.12</v>
      </c>
      <c r="E19" s="8">
        <f>'50 изол (каолин)'!E19*0.9</f>
        <v>1304.0775</v>
      </c>
      <c r="F19" s="8">
        <f>'50 изол (каолин)'!F19*0.9</f>
        <v>1400.72625</v>
      </c>
      <c r="G19" s="88">
        <f>'50 изол (каолин)'!G19*0.9</f>
        <v>1485.12375</v>
      </c>
      <c r="H19" s="8">
        <f>'50 изол (каолин)'!H19*0.9</f>
        <v>1613.08125</v>
      </c>
      <c r="I19" s="8">
        <f>'50 изол (каолин)'!I19*0.9</f>
        <v>1666.17</v>
      </c>
      <c r="J19" s="88">
        <f>'50 изол (каолин)'!J19*0.9</f>
        <v>1862.19</v>
      </c>
      <c r="K19" s="8">
        <f>'50 изол (каолин)'!K19*0.9</f>
        <v>2131.7175</v>
      </c>
      <c r="L19" s="8">
        <f>'50 изол (каолин)'!L19*0.9</f>
        <v>2292.345</v>
      </c>
      <c r="M19" s="8">
        <f>'50 изол (каолин)'!M19*0.9</f>
        <v>2387.6325</v>
      </c>
    </row>
    <row r="20" ht="19.5" customHeight="1" spans="1:14">
      <c r="A20" s="87" t="s">
        <v>72</v>
      </c>
      <c r="B20" s="8">
        <f>'50 изол (каолин)'!B20*0.9</f>
        <v>3004.27875</v>
      </c>
      <c r="C20" s="8">
        <f>'50 изол (каолин)'!C20*0.9</f>
        <v>3094.12125</v>
      </c>
      <c r="D20" s="88">
        <f>'50 изол (каолин)'!D20*0.9</f>
        <v>3132.23625</v>
      </c>
      <c r="E20" s="8">
        <f>'50 изол (каолин)'!E20*0.9</f>
        <v>3253.3875</v>
      </c>
      <c r="F20" s="8">
        <f>'50 изол (каолин)'!F20*0.9</f>
        <v>3359.565</v>
      </c>
      <c r="G20" s="88">
        <f>'50 изол (каолин)'!G20*0.9</f>
        <v>3616.84125</v>
      </c>
      <c r="H20" s="8">
        <f>'50 изол (каолин)'!H20*0.9</f>
        <v>3736.63125</v>
      </c>
      <c r="I20" s="8">
        <f>'50 изол (каолин)'!I20*0.9</f>
        <v>3997.99125</v>
      </c>
      <c r="J20" s="88">
        <f>'50 изол (каолин)'!J20*0.9</f>
        <v>4488.04125</v>
      </c>
      <c r="K20" s="8">
        <f>'50 изол (каолин)'!K20*0.9</f>
        <v>5413.69125</v>
      </c>
      <c r="L20" s="8">
        <f>'50 изол (каолин)'!L20*0.9</f>
        <v>5969.08125</v>
      </c>
      <c r="M20" s="8">
        <f>'50 изол (каолин)'!M20*0.9</f>
        <v>6303.94875</v>
      </c>
    </row>
    <row r="21" ht="19.5" customHeight="1" spans="1:14">
      <c r="A21" s="87" t="s">
        <v>73</v>
      </c>
      <c r="B21" s="8">
        <f>'50 изол (каолин)'!B21*0.9</f>
        <v>1208.79</v>
      </c>
      <c r="C21" s="8">
        <f>'50 изол (каолин)'!C21*0.9</f>
        <v>1248.26625</v>
      </c>
      <c r="D21" s="88">
        <f>'50 изол (каолин)'!D21*0.9</f>
        <v>1321.77375</v>
      </c>
      <c r="E21" s="8">
        <f>'50 изол (каолин)'!E21*0.9</f>
        <v>1463.34375</v>
      </c>
      <c r="F21" s="8">
        <f>'50 изол (каолин)'!F21*0.9</f>
        <v>1521.8775</v>
      </c>
      <c r="G21" s="88">
        <f>'50 изол (каолин)'!G21*0.9</f>
        <v>1696.1175</v>
      </c>
      <c r="H21" s="8">
        <f>'50 изол (каолин)'!H21*0.9</f>
        <v>1851.3</v>
      </c>
      <c r="I21" s="8">
        <f>'50 изол (каолин)'!I21*0.9</f>
        <v>2119.46625</v>
      </c>
      <c r="J21" s="88">
        <f>'50 изол (каолин)'!J21*0.9</f>
        <v>2293.70625</v>
      </c>
      <c r="K21" s="8">
        <f>'50 изол (каолин)'!K21*0.9</f>
        <v>2714.3325</v>
      </c>
      <c r="L21" s="8">
        <f>'50 изол (каолин)'!L21*0.9</f>
        <v>2967.525</v>
      </c>
      <c r="M21" s="8">
        <f>'50 изол (каолин)'!M21*0.9</f>
        <v>3119.985</v>
      </c>
    </row>
    <row r="22" ht="19.5" customHeight="1" spans="1:14">
      <c r="A22" s="87" t="s">
        <v>74</v>
      </c>
      <c r="B22" s="8">
        <f>'50 изол (каолин)'!B22*0.9</f>
        <v>1592.6625</v>
      </c>
      <c r="C22" s="8">
        <f>'50 изол (каолин)'!C22*0.9</f>
        <v>1647.1125</v>
      </c>
      <c r="D22" s="88">
        <f>'50 изол (каолин)'!D22*0.9</f>
        <v>1840.41</v>
      </c>
      <c r="E22" s="8">
        <f>'50 изол (каолин)'!E22*0.9</f>
        <v>1886.6925</v>
      </c>
      <c r="F22" s="8">
        <f>'50 изол (каолин)'!F22*0.9</f>
        <v>2014.65</v>
      </c>
      <c r="G22" s="88">
        <f>'50 изол (каолин)'!G22*0.9</f>
        <v>2322.2925</v>
      </c>
      <c r="H22" s="8">
        <f>'50 изол (каолин)'!H22*0.9</f>
        <v>2437.99875</v>
      </c>
      <c r="I22" s="8">
        <f>'50 изол (каолин)'!I22*0.9</f>
        <v>2677.57875</v>
      </c>
      <c r="J22" s="88">
        <f>'50 изол (каолин)'!J22*0.9</f>
        <v>2870.87625</v>
      </c>
      <c r="K22" s="8">
        <f>'50 изол (каолин)'!K22*0.9</f>
        <v>3494.32875</v>
      </c>
      <c r="L22" s="8">
        <f>'50 изол (каолин)'!L22*0.9</f>
        <v>3868.6725</v>
      </c>
      <c r="M22" s="8">
        <f>'50 изол (каолин)'!M22*0.9</f>
        <v>4093.27875</v>
      </c>
    </row>
    <row r="23" ht="19.5" customHeight="1" spans="1:14">
      <c r="A23" s="35"/>
      <c r="B23" s="35"/>
      <c r="C23" s="35"/>
      <c r="D23" s="49"/>
      <c r="E23" s="35"/>
      <c r="F23" s="35"/>
      <c r="G23" s="49"/>
      <c r="H23" s="35"/>
      <c r="I23" s="35"/>
      <c r="J23" s="49"/>
      <c r="K23" s="35"/>
      <c r="L23" s="35"/>
      <c r="M23" s="35"/>
    </row>
    <row r="24" ht="19.5" customHeight="1" spans="1:14">
      <c r="A24" s="82" t="s">
        <v>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5"/>
    </row>
    <row r="25" ht="19.5" customHeight="1" spans="1:14">
      <c r="A25" s="35"/>
      <c r="B25" s="35"/>
      <c r="C25" s="35"/>
      <c r="D25" s="49"/>
      <c r="E25" s="35"/>
      <c r="F25" s="35"/>
      <c r="G25" s="49"/>
      <c r="H25" s="35"/>
      <c r="I25" s="35"/>
      <c r="J25" s="49"/>
      <c r="K25" s="83" t="s">
        <v>127</v>
      </c>
    </row>
    <row r="26" ht="19.5" customHeight="1" spans="1:14">
      <c r="A26" s="35"/>
      <c r="B26" s="35"/>
      <c r="C26" s="35"/>
      <c r="D26" s="49"/>
      <c r="E26" s="35"/>
      <c r="F26" s="35"/>
      <c r="G26" s="49"/>
      <c r="H26" s="35"/>
      <c r="I26" s="35"/>
      <c r="J26" s="49"/>
    </row>
    <row r="27" ht="19.5" customHeight="1" spans="1:14">
      <c r="A27" s="84" t="s">
        <v>115</v>
      </c>
      <c r="J27" s="49"/>
    </row>
    <row r="28" ht="19.5" customHeight="1" spans="1:14">
      <c r="A28" s="84" t="s">
        <v>89</v>
      </c>
      <c r="J28" s="49"/>
      <c r="K28" s="35"/>
      <c r="L28" s="35"/>
      <c r="M28" s="35"/>
    </row>
    <row r="29" ht="21" customHeight="1" spans="1:14">
      <c r="A29" s="85" t="s">
        <v>128</v>
      </c>
    </row>
    <row r="30" ht="27" customHeight="1" spans="1:14">
      <c r="A30" s="17"/>
      <c r="B30" s="86" t="s">
        <v>129</v>
      </c>
      <c r="C30" s="86" t="s">
        <v>130</v>
      </c>
      <c r="D30" s="86" t="s">
        <v>131</v>
      </c>
      <c r="E30" s="86" t="s">
        <v>132</v>
      </c>
      <c r="F30" s="86" t="s">
        <v>133</v>
      </c>
      <c r="G30" s="86" t="s">
        <v>134</v>
      </c>
      <c r="H30" s="86" t="s">
        <v>135</v>
      </c>
      <c r="I30" s="86" t="s">
        <v>136</v>
      </c>
      <c r="J30" s="86" t="s">
        <v>137</v>
      </c>
      <c r="K30" s="86" t="s">
        <v>138</v>
      </c>
      <c r="L30" s="86" t="s">
        <v>139</v>
      </c>
      <c r="M30" s="86" t="s">
        <v>140</v>
      </c>
    </row>
    <row r="31" ht="19.5" customHeight="1" spans="1:14">
      <c r="A31" s="89" t="s">
        <v>68</v>
      </c>
      <c r="B31" s="8">
        <f>'50 изол (каолин)'!B31*0.9</f>
        <v>2941.599375</v>
      </c>
      <c r="C31" s="8">
        <f>'50 изол (каолин)'!C31*0.9</f>
        <v>2991.40875</v>
      </c>
      <c r="D31" s="88">
        <f>'50 изол (каолин)'!D31*0.9</f>
        <v>3204.8775</v>
      </c>
      <c r="E31" s="8">
        <f>'50 изол (каолин)'!E31*0.9</f>
        <v>3465.309375</v>
      </c>
      <c r="F31" s="8">
        <f>'50 изол (каолин)'!F31*0.9</f>
        <v>3735.703125</v>
      </c>
      <c r="G31" s="88">
        <f>'50 изол (каолин)'!G31*0.9</f>
        <v>3896.51625</v>
      </c>
      <c r="H31" s="8">
        <f>'50 изол (каолин)'!H31*0.9</f>
        <v>4085.791875</v>
      </c>
      <c r="I31" s="8">
        <f>'50 изол (каолин)'!I31*0.9</f>
        <v>4482.84375</v>
      </c>
      <c r="J31" s="88">
        <f>'50 изол (каолин)'!J31*0.9</f>
        <v>4909.78125</v>
      </c>
      <c r="K31" s="8">
        <f>'50 изол (каолин)'!K31*0.9</f>
        <v>5977.125</v>
      </c>
      <c r="L31" s="8">
        <f>'50 изол (каолин)'!L31*0.9</f>
        <v>6617.53125</v>
      </c>
      <c r="M31" s="8">
        <f>'50 изол (каолин)'!M31*0.9</f>
        <v>7044.46875</v>
      </c>
    </row>
    <row r="32" ht="19.5" customHeight="1" spans="1:14">
      <c r="A32" s="89" t="s">
        <v>18</v>
      </c>
      <c r="B32" s="8">
        <f>'50 изол (каолин)'!B32*0.9</f>
        <v>2410.77375</v>
      </c>
      <c r="C32" s="8">
        <f>'50 изол (каолин)'!C32*0.9</f>
        <v>2594.356875</v>
      </c>
      <c r="D32" s="88">
        <f>'50 изол (каолин)'!D32*0.9</f>
        <v>2816.364375</v>
      </c>
      <c r="E32" s="8">
        <f>'50 изол (каолин)'!E32*0.9</f>
        <v>3012.755625</v>
      </c>
      <c r="F32" s="8">
        <f>'50 изол (каолин)'!F32*0.9</f>
        <v>3192.069375</v>
      </c>
      <c r="G32" s="88">
        <f>'50 изол (каолин)'!G32*0.9</f>
        <v>3345.766875</v>
      </c>
      <c r="H32" s="8">
        <f>'50 изол (каолин)'!H32*0.9</f>
        <v>3536.465625</v>
      </c>
      <c r="I32" s="8">
        <f>'50 изол (каолин)'!I32*0.9</f>
        <v>4040.251875</v>
      </c>
      <c r="J32" s="88">
        <f>'50 изол (каолин)'!J32*0.9</f>
        <v>4158.37125</v>
      </c>
      <c r="K32" s="8">
        <f>'50 изол (каолин)'!K32*0.9</f>
        <v>5123.25</v>
      </c>
      <c r="L32" s="8">
        <f>'50 изол (каолин)'!L32*0.9</f>
        <v>5571.534375</v>
      </c>
      <c r="M32" s="8">
        <f>'50 изол (каолин)'!M32*0.9</f>
        <v>5896.006875</v>
      </c>
    </row>
    <row r="33" ht="19.5" customHeight="1" spans="1:14">
      <c r="A33" s="89" t="s">
        <v>19</v>
      </c>
      <c r="B33" s="8">
        <f>'50 изол (каолин)'!B33*0.9</f>
        <v>1878.525</v>
      </c>
      <c r="C33" s="8">
        <f>'50 изол (каолин)'!C33*0.9</f>
        <v>2036.491875</v>
      </c>
      <c r="D33" s="88">
        <f>'50 изол (каолин)'!D33*0.9</f>
        <v>2220.075</v>
      </c>
      <c r="E33" s="8">
        <f>'50 изол (каолин)'!E33*0.9</f>
        <v>2386.580625</v>
      </c>
      <c r="F33" s="8">
        <f>'50 изол (каолин)'!F33*0.9</f>
        <v>2612.8575</v>
      </c>
      <c r="G33" s="88">
        <f>'50 изол (каолин)'!G33*0.9</f>
        <v>2775.09375</v>
      </c>
      <c r="H33" s="8">
        <f>'50 изол (каолин)'!H33*0.9</f>
        <v>2884.674375</v>
      </c>
      <c r="I33" s="8">
        <f>'50 изол (каолин)'!I33*0.9</f>
        <v>3133.72125</v>
      </c>
      <c r="J33" s="88">
        <f>'50 изол (каолин)'!J33*0.9</f>
        <v>3415.5</v>
      </c>
      <c r="K33" s="8">
        <f>'50 изол (каолин)'!K33*0.9</f>
        <v>4162.640625</v>
      </c>
      <c r="L33" s="8">
        <f>'50 изол (каолин)'!L33*0.9</f>
        <v>4610.925</v>
      </c>
      <c r="M33" s="8">
        <f>'50 изол (каолин)'!M33*0.9</f>
        <v>4909.78125</v>
      </c>
    </row>
    <row r="34" ht="19.5" customHeight="1" spans="1:14">
      <c r="A34" s="89" t="s">
        <v>20</v>
      </c>
      <c r="B34" s="8">
        <f>'50 изол (каолин)'!B34*0.9</f>
        <v>1559.745</v>
      </c>
      <c r="C34" s="8">
        <f>'50 изол (каолин)'!C34*0.9</f>
        <v>1702.0575</v>
      </c>
      <c r="D34" s="88">
        <f>'50 изол (каолин)'!D34*0.9</f>
        <v>1861.4475</v>
      </c>
      <c r="E34" s="8">
        <f>'50 изол (каолин)'!E34*0.9</f>
        <v>2010.875625</v>
      </c>
      <c r="F34" s="8">
        <f>'50 изол (каолин)'!F34*0.9</f>
        <v>2167.419375</v>
      </c>
      <c r="G34" s="88">
        <f>'50 изол (каолин)'!G34*0.9</f>
        <v>2241.421875</v>
      </c>
      <c r="H34" s="8">
        <f>'50 изол (каолин)'!H34*0.9</f>
        <v>2356.695</v>
      </c>
      <c r="I34" s="8">
        <f>'50 изол (каолин)'!I34*0.9</f>
        <v>2524.62375</v>
      </c>
      <c r="J34" s="88">
        <f>'50 изол (каолин)'!J34*0.9</f>
        <v>2775.09375</v>
      </c>
      <c r="K34" s="8">
        <f>'50 изол (каолин)'!K34*0.9</f>
        <v>3342.920625</v>
      </c>
      <c r="L34" s="8">
        <f>'50 изол (каолин)'!L34*0.9</f>
        <v>3683.0475</v>
      </c>
      <c r="M34" s="8">
        <f>'50 изол (каолин)'!M34*0.9</f>
        <v>3910.7475</v>
      </c>
    </row>
    <row r="35" ht="19.5" customHeight="1" spans="1:14">
      <c r="A35" s="89" t="s">
        <v>21</v>
      </c>
      <c r="B35" s="8">
        <f>'50 изол (каолин)'!B35*0.9</f>
        <v>1480.05</v>
      </c>
      <c r="C35" s="8">
        <f>'50 изол (каолин)'!C35*0.9</f>
        <v>1497.1275</v>
      </c>
      <c r="D35" s="88">
        <f>'50 изол (каолин)'!D35*0.9</f>
        <v>1561.168125</v>
      </c>
      <c r="E35" s="8">
        <f>'50 изол (каолин)'!E35*0.9</f>
        <v>1608.13125</v>
      </c>
      <c r="F35" s="8">
        <f>'50 изол (каолин)'!F35*0.9</f>
        <v>1727.67375</v>
      </c>
      <c r="G35" s="88">
        <f>'50 изол (каолин)'!G35*0.9</f>
        <v>1811.638125</v>
      </c>
      <c r="H35" s="8">
        <f>'50 изол (каолин)'!H35*0.9</f>
        <v>1847.21625</v>
      </c>
      <c r="I35" s="8">
        <f>'50 изол (каолин)'!I35*0.9</f>
        <v>1966.75875</v>
      </c>
      <c r="J35" s="88">
        <f>'50 изол (каолин)'!J35*0.9</f>
        <v>2227.190625</v>
      </c>
      <c r="K35" s="8">
        <f>'50 изол (каолин)'!K35*0.9</f>
        <v>2564.47125</v>
      </c>
      <c r="L35" s="8">
        <f>'50 изол (каолин)'!L35*0.9</f>
        <v>2765.131875</v>
      </c>
      <c r="M35" s="8">
        <f>'50 изол (каолин)'!M35*0.9</f>
        <v>2900.32875</v>
      </c>
    </row>
    <row r="36" ht="19.5" customHeight="1" spans="1:14">
      <c r="A36" s="89" t="s">
        <v>22</v>
      </c>
      <c r="B36" s="8">
        <f>'50 изол (каолин)'!B36*0.9</f>
        <v>1128.538125</v>
      </c>
      <c r="C36" s="8">
        <f>'50 изол (каолин)'!C36*0.9</f>
        <v>1138.5</v>
      </c>
      <c r="D36" s="88">
        <f>'50 изол (каолин)'!D36*0.9</f>
        <v>1176.924375</v>
      </c>
      <c r="E36" s="8">
        <f>'50 изол (каолин)'!E36*0.9</f>
        <v>1203.96375</v>
      </c>
      <c r="F36" s="8">
        <f>'50 изол (каолин)'!F36*0.9</f>
        <v>1273.696875</v>
      </c>
      <c r="G36" s="88">
        <f>'50 изол (каолин)'!G36*0.9</f>
        <v>1332.045</v>
      </c>
      <c r="H36" s="8">
        <f>'50 изол (каолин)'!H36*0.9</f>
        <v>1353.391875</v>
      </c>
      <c r="I36" s="8">
        <f>'50 изол (каолин)'!I36*0.9</f>
        <v>1518.474375</v>
      </c>
      <c r="J36" s="88">
        <f>'50 изол (каолин)'!J36*0.9</f>
        <v>1682.13375</v>
      </c>
      <c r="K36" s="8">
        <f>'50 изол (каолин)'!K36*0.9</f>
        <v>1889.91</v>
      </c>
      <c r="L36" s="8">
        <f>'50 изол (каолин)'!L36*0.9</f>
        <v>2013.721875</v>
      </c>
      <c r="M36" s="8">
        <f>'50 изол (каолин)'!M36*0.9</f>
        <v>2096.263125</v>
      </c>
    </row>
    <row r="37" ht="19.5" customHeight="1" spans="1:14">
      <c r="A37" s="89" t="s">
        <v>23</v>
      </c>
      <c r="B37" s="8">
        <f>'50 изол (каолин)'!B37*0.9</f>
        <v>3328.689375</v>
      </c>
      <c r="C37" s="8">
        <f>'50 изол (каолин)'!C37*0.9</f>
        <v>3599.083125</v>
      </c>
      <c r="D37" s="88">
        <f>'50 изол (каолин)'!D37*0.9</f>
        <v>3764.165625</v>
      </c>
      <c r="E37" s="8">
        <f>'50 изол (каолин)'!E37*0.9</f>
        <v>4154.101875</v>
      </c>
      <c r="F37" s="8">
        <f>'50 изол (каолин)'!F37*0.9</f>
        <v>4425.91875</v>
      </c>
      <c r="G37" s="88">
        <f>'50 изол (каолин)'!G37*0.9</f>
        <v>4704.85125</v>
      </c>
      <c r="H37" s="8">
        <f>'50 изол (каолин)'!H37*0.9</f>
        <v>4972.39875</v>
      </c>
      <c r="I37" s="8">
        <f>'50 изол (каолин)'!I37*0.9</f>
        <v>5575.80375</v>
      </c>
      <c r="J37" s="88">
        <f>'50 изол (каолин)'!J37*0.9</f>
        <v>6193.44</v>
      </c>
      <c r="K37" s="8">
        <f>'50 изол (каолин)'!K37*0.9</f>
        <v>7765.993125</v>
      </c>
      <c r="L37" s="8">
        <f>'50 изол (каолин)'!L37*0.9</f>
        <v>8560.096875</v>
      </c>
      <c r="M37" s="8">
        <f>'50 изол (каолин)'!M37*0.9</f>
        <v>8968.53375</v>
      </c>
    </row>
    <row r="38" ht="19.5" customHeight="1" spans="1:14">
      <c r="A38" s="89" t="s">
        <v>24</v>
      </c>
      <c r="B38" s="8">
        <f>'50 изол (каолин)'!B38*0.9</f>
        <v>3115.220625</v>
      </c>
      <c r="C38" s="8">
        <f>'50 изол (каолин)'!C38*0.9</f>
        <v>3385.614375</v>
      </c>
      <c r="D38" s="88">
        <f>'50 изол (каолин)'!D38*0.9</f>
        <v>3550.696875</v>
      </c>
      <c r="E38" s="8">
        <f>'50 изол (каолин)'!E38*0.9</f>
        <v>3940.633125</v>
      </c>
      <c r="F38" s="8">
        <f>'50 изол (каолин)'!F38*0.9</f>
        <v>4135.60125</v>
      </c>
      <c r="G38" s="88">
        <f>'50 изол (каолин)'!G38*0.9</f>
        <v>4491.3825</v>
      </c>
      <c r="H38" s="8">
        <f>'50 изол (каолин)'!H38*0.9</f>
        <v>4758.93</v>
      </c>
      <c r="I38" s="8">
        <f>'50 изол (каолин)'!I38*0.9</f>
        <v>5362.335</v>
      </c>
      <c r="J38" s="88">
        <f>'50 изол (каолин)'!J38*0.9</f>
        <v>5979.97125</v>
      </c>
      <c r="K38" s="8">
        <f>'50 изол (каолин)'!K38*0.9</f>
        <v>7552.524375</v>
      </c>
      <c r="L38" s="8">
        <f>'50 изол (каолин)'!L38*0.9</f>
        <v>8346.628125</v>
      </c>
      <c r="M38" s="8">
        <f>'50 изол (каолин)'!M38*0.9</f>
        <v>8755.065</v>
      </c>
    </row>
    <row r="39" ht="19.5" customHeight="1" spans="1:14">
      <c r="A39" s="89" t="s">
        <v>26</v>
      </c>
      <c r="B39" s="8">
        <f>'50 изол (каолин)'!B39*0.9</f>
        <v>4257.99</v>
      </c>
      <c r="C39" s="8">
        <f>'50 изол (каолин)'!C39*0.9</f>
        <v>4545.46125</v>
      </c>
      <c r="D39" s="88">
        <f>'50 изол (каолин)'!D39*0.9</f>
        <v>4915.47375</v>
      </c>
      <c r="E39" s="8">
        <f>'50 изол (каолин)'!E39*0.9</f>
        <v>5185.8675</v>
      </c>
      <c r="F39" s="8">
        <f>'50 изол (каолин)'!F39*0.9</f>
        <v>5249.908125</v>
      </c>
      <c r="G39" s="88">
        <f>'50 изол (каолин)'!G39*0.9</f>
        <v>5604.26625</v>
      </c>
      <c r="H39" s="8">
        <f>'50 изол (каолин)'!H39*0.9</f>
        <v>5918.776875</v>
      </c>
      <c r="I39" s="8">
        <f>'50 изол (каолин)'!I39*0.9</f>
        <v>6620.3775</v>
      </c>
      <c r="J39" s="88">
        <f>'50 изол (каолин)'!J39*0.9</f>
        <v>7149.78</v>
      </c>
      <c r="K39" s="8">
        <f>'50 изол (каолин)'!K39*0.9</f>
        <v>8780.68125</v>
      </c>
      <c r="L39" s="8">
        <f>'50 изол (каолин)'!L39*0.9</f>
        <v>9758.368125</v>
      </c>
      <c r="M39" s="8">
        <f>'50 изол (каолин)'!M39*0.9</f>
        <v>10411.5825</v>
      </c>
    </row>
    <row r="40" ht="19.5" customHeight="1" spans="1:14">
      <c r="A40" s="89" t="s">
        <v>27</v>
      </c>
      <c r="B40" s="8">
        <f>'50 изол (каолин)'!B40*0.9</f>
        <v>5396.49</v>
      </c>
      <c r="C40" s="8">
        <f>'50 изол (каолин)'!C40*0.9</f>
        <v>5672.57625</v>
      </c>
      <c r="D40" s="88">
        <f>'50 изол (каолин)'!D40*0.9</f>
        <v>5927.315625</v>
      </c>
      <c r="E40" s="8">
        <f>'50 изол (каолин)'!E40*0.9</f>
        <v>6349.98375</v>
      </c>
      <c r="F40" s="8">
        <f>'50 изол (каолин)'!F40*0.9</f>
        <v>6681.571875</v>
      </c>
      <c r="G40" s="88">
        <f>'50 изол (каолин)'!G40*0.9</f>
        <v>7410.211875</v>
      </c>
      <c r="H40" s="8">
        <f>'50 изол (каолин)'!H40*0.9</f>
        <v>8215.700625</v>
      </c>
      <c r="I40" s="8">
        <f>'50 изол (каолин)'!I40*0.9</f>
        <v>9049.651875</v>
      </c>
      <c r="J40" s="88">
        <f>'50 изол (каолин)'!J40*0.9</f>
        <v>10377.4275</v>
      </c>
      <c r="K40" s="8">
        <f>'50 изол (каолин)'!K40*0.9</f>
        <v>12255.9525</v>
      </c>
      <c r="L40" s="8">
        <f>'50 изол (каолин)'!L40*0.9</f>
        <v>13383.0675</v>
      </c>
      <c r="M40" s="8">
        <f>'50 изол (каолин)'!M40*0.9</f>
        <v>14060.475</v>
      </c>
    </row>
    <row r="41" ht="19.5" customHeight="1" spans="1:14">
      <c r="A41" s="89" t="s">
        <v>70</v>
      </c>
      <c r="B41" s="8">
        <f>'50 изол (каолин)'!B41*0.9</f>
        <v>9762.6375</v>
      </c>
      <c r="C41" s="8">
        <f>'50 изол (каолин)'!C41*0.9</f>
        <v>10091.379375</v>
      </c>
      <c r="D41" s="88">
        <f>'50 изол (каолин)'!D41*0.9</f>
        <v>10373.158125</v>
      </c>
      <c r="E41" s="8">
        <f>'50 изол (каолин)'!E41*0.9</f>
        <v>10684.8225</v>
      </c>
      <c r="F41" s="8">
        <f>'50 изол (каолин)'!F41*0.9</f>
        <v>11033.488125</v>
      </c>
      <c r="G41" s="88">
        <f>'50 изол (каолин)'!G41*0.9</f>
        <v>11800.5525</v>
      </c>
      <c r="H41" s="8">
        <f>'50 изол (каолин)'!H41*0.9</f>
        <v>12214.681875</v>
      </c>
      <c r="I41" s="8">
        <f>'50 изол (каолин)'!I41*0.9</f>
        <v>13106.98125</v>
      </c>
      <c r="J41" s="88">
        <f>'50 изол (каолин)'!J41*0.9</f>
        <v>14732.19</v>
      </c>
      <c r="K41" s="8">
        <f>'50 изол (каолин)'!K41*0.9</f>
        <v>17524.36125</v>
      </c>
      <c r="L41" s="8">
        <f>'50 изол (каолин)'!L41*0.9</f>
        <v>19200.8025</v>
      </c>
      <c r="M41" s="8">
        <f>'50 изол (каолин)'!M41*0.9</f>
        <v>20366.341875</v>
      </c>
    </row>
    <row r="42" ht="19.5" customHeight="1" spans="1:14">
      <c r="A42" s="89" t="s">
        <v>71</v>
      </c>
      <c r="B42" s="8">
        <f>'50 изол (каолин)'!B42*0.9</f>
        <v>1249.50375</v>
      </c>
      <c r="C42" s="8">
        <f>'50 изол (каолин)'!C42*0.9</f>
        <v>1275.12</v>
      </c>
      <c r="D42" s="88">
        <f>'50 изол (каолин)'!D42*0.9</f>
        <v>1366.2</v>
      </c>
      <c r="E42" s="8">
        <f>'50 изол (каолин)'!E42*0.9</f>
        <v>1514.205</v>
      </c>
      <c r="F42" s="8">
        <f>'50 изол (каолин)'!F42*0.9</f>
        <v>1626.631875</v>
      </c>
      <c r="G42" s="88">
        <f>'50 изол (каолин)'!G42*0.9</f>
        <v>1726.250625</v>
      </c>
      <c r="H42" s="8">
        <f>'50 изол (каолин)'!H42*0.9</f>
        <v>1874.255625</v>
      </c>
      <c r="I42" s="8">
        <f>'50 изол (каолин)'!I42*0.9</f>
        <v>1935.45</v>
      </c>
      <c r="J42" s="88">
        <f>'50 изол (каолин)'!J42*0.9</f>
        <v>2163.15</v>
      </c>
      <c r="K42" s="8">
        <f>'50 изол (каолин)'!K42*0.9</f>
        <v>2474.814375</v>
      </c>
      <c r="L42" s="8">
        <f>'50 изол (каолин)'!L42*0.9</f>
        <v>2661.24375</v>
      </c>
      <c r="M42" s="8">
        <f>'50 изол (каолин)'!M42*0.9</f>
        <v>2775.09375</v>
      </c>
    </row>
    <row r="43" ht="19.5" customHeight="1" spans="1:14">
      <c r="A43" s="89" t="s">
        <v>72</v>
      </c>
      <c r="B43" s="8">
        <f>'50 изол (каолин)'!B43*0.9</f>
        <v>3278.88</v>
      </c>
      <c r="C43" s="8">
        <f>'50 изол (каолин)'!C43*0.9</f>
        <v>3379.921875</v>
      </c>
      <c r="D43" s="88">
        <f>'50 изол (каолин)'!D43*0.9</f>
        <v>3426.885</v>
      </c>
      <c r="E43" s="8">
        <f>'50 изол (каолин)'!E43*0.9</f>
        <v>3559.235625</v>
      </c>
      <c r="F43" s="8">
        <f>'50 изол (каолин)'!F43*0.9</f>
        <v>3678.778125</v>
      </c>
      <c r="G43" s="88">
        <f>'50 изол (каолин)'!G43*0.9</f>
        <v>3960.556875</v>
      </c>
      <c r="H43" s="8">
        <f>'50 изол (каолин)'!H43*0.9</f>
        <v>4092.9075</v>
      </c>
      <c r="I43" s="8">
        <f>'50 изол (каолин)'!I43*0.9</f>
        <v>4380.37875</v>
      </c>
      <c r="J43" s="88">
        <f>'50 изол (каолин)'!J43*0.9</f>
        <v>4914.050625</v>
      </c>
      <c r="K43" s="8">
        <f>'50 изол (каолин)'!K43*0.9</f>
        <v>5928.73875</v>
      </c>
      <c r="L43" s="8">
        <f>'50 изол (каолин)'!L43*0.9</f>
        <v>6536.413125</v>
      </c>
      <c r="M43" s="8">
        <f>'50 изол (каолин)'!M43*0.9</f>
        <v>6902.15625</v>
      </c>
    </row>
    <row r="44" ht="19.5" customHeight="1" spans="1:14">
      <c r="A44" s="89" t="s">
        <v>73</v>
      </c>
      <c r="B44" s="8">
        <f>'50 изол (каолин)'!B44*0.9</f>
        <v>1417.4325</v>
      </c>
      <c r="C44" s="8">
        <f>'50 изол (каолин)'!C44*0.9</f>
        <v>1477.20375</v>
      </c>
      <c r="D44" s="88">
        <f>'50 изол (каолин)'!D44*0.9</f>
        <v>1581.091875</v>
      </c>
      <c r="E44" s="8">
        <f>'50 изол (каолин)'!E44*0.9</f>
        <v>1667.9025</v>
      </c>
      <c r="F44" s="8">
        <f>'50 изол (каолин)'!F44*0.9</f>
        <v>1730.52</v>
      </c>
      <c r="G44" s="88">
        <f>'50 изол (каолин)'!G44*0.9</f>
        <v>1939.719375</v>
      </c>
      <c r="H44" s="8">
        <f>'50 изол (каолин)'!H44*0.9</f>
        <v>2076.339375</v>
      </c>
      <c r="I44" s="8">
        <f>'50 изол (каолин)'!I44*0.9</f>
        <v>2417.889375</v>
      </c>
      <c r="J44" s="88">
        <f>'50 изол (каолин)'!J44*0.9</f>
        <v>2622.819375</v>
      </c>
      <c r="K44" s="8">
        <f>'50 изол (каолин)'!K44*0.9</f>
        <v>3217.685625</v>
      </c>
      <c r="L44" s="8">
        <f>'50 изол (каолин)'!L44*0.9</f>
        <v>3573.466875</v>
      </c>
      <c r="M44" s="8">
        <f>'50 изол (каолин)'!M44*0.9</f>
        <v>3788.35875</v>
      </c>
    </row>
    <row r="45" ht="19.5" customHeight="1" spans="1:14">
      <c r="A45" s="89" t="s">
        <v>74</v>
      </c>
      <c r="B45" s="8">
        <f>'50 изол (каолин)'!B45*0.9</f>
        <v>1790.29125</v>
      </c>
      <c r="C45" s="8">
        <f>'50 изол (каолин)'!C45*0.9</f>
        <v>1878.525</v>
      </c>
      <c r="D45" s="88">
        <f>'50 изол (каолин)'!D45*0.9</f>
        <v>2003.76</v>
      </c>
      <c r="E45" s="8">
        <f>'50 изол (каолин)'!E45*0.9</f>
        <v>2074.91625</v>
      </c>
      <c r="F45" s="8">
        <f>'50 изол (каолин)'!F45*0.9</f>
        <v>2187.343125</v>
      </c>
      <c r="G45" s="88">
        <f>'50 изол (каолин)'!G45*0.9</f>
        <v>2547.39375</v>
      </c>
      <c r="H45" s="8">
        <f>'50 изол (каолин)'!H45*0.9</f>
        <v>2718.16875</v>
      </c>
      <c r="I45" s="8">
        <f>'50 изол (каолин)'!I45*0.9</f>
        <v>3015.601875</v>
      </c>
      <c r="J45" s="88">
        <f>'50 изол (каолин)'!J45*0.9</f>
        <v>3362.844375</v>
      </c>
      <c r="K45" s="8">
        <f>'50 изол (каолин)'!K45*0.9</f>
        <v>4037.405625</v>
      </c>
      <c r="L45" s="8">
        <f>'50 изол (каолин)'!L45*0.9</f>
        <v>4441.573125</v>
      </c>
      <c r="M45" s="8">
        <f>'50 изол (каолин)'!M45*0.9</f>
        <v>4565.64375</v>
      </c>
    </row>
    <row r="46" ht="19.5" customHeight="1" spans="1:14">
      <c r="A46" s="90" t="s">
        <v>77</v>
      </c>
      <c r="B46" s="8">
        <f>'50 изол (каолин)'!B46*0.9</f>
        <v>2362.3875</v>
      </c>
      <c r="C46" s="8">
        <f>'50 изол (каолин)'!C46*0.9</f>
        <v>2425.005</v>
      </c>
      <c r="D46" s="88">
        <f>'50 изол (каолин)'!D46*0.9</f>
        <v>2621.39625</v>
      </c>
      <c r="E46" s="8">
        <f>'50 изол (каолин)'!E46*0.9</f>
        <v>2846.25</v>
      </c>
      <c r="F46" s="8">
        <f>'50 изол (каолин)'!F46*0.9</f>
        <v>3017.025</v>
      </c>
      <c r="G46" s="88">
        <f>'50 изол (каолин)'!G46*0.9</f>
        <v>3236.18625</v>
      </c>
      <c r="H46" s="8">
        <f>'50 изол (каолин)'!H46*0.9</f>
        <v>3463.88625</v>
      </c>
      <c r="I46" s="8">
        <f>'50 изол (каолин)'!I46*0.9</f>
        <v>3812.551875</v>
      </c>
      <c r="J46" s="88">
        <f>'50 изол (каолин)'!J46*0.9</f>
        <v>4201.065</v>
      </c>
      <c r="K46" s="8">
        <f>'50 изол (каолин)'!K46*0.9</f>
        <v>4497.075</v>
      </c>
      <c r="L46" s="8">
        <f>'50 изол (каолин)'!L46*0.9</f>
        <v>4538.345625</v>
      </c>
      <c r="M46" s="8">
        <f>'50 изол (каолин)'!M46*0.9</f>
        <v>4683.375</v>
      </c>
      <c r="N46" s="15"/>
    </row>
    <row r="47" ht="19.5" customHeight="1" spans="1:14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15"/>
    </row>
    <row r="48" ht="19.5" customHeight="1" spans="1:14">
      <c r="A48" s="82" t="s">
        <v>35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5"/>
    </row>
    <row r="49" ht="19.5" customHeight="1" spans="1:13">
      <c r="A49" s="35"/>
      <c r="B49" s="35"/>
      <c r="C49" s="35"/>
      <c r="D49" s="49"/>
      <c r="E49" s="35"/>
      <c r="F49" s="35"/>
      <c r="G49" s="49"/>
      <c r="H49" s="35"/>
      <c r="I49" s="35"/>
      <c r="J49" s="49"/>
      <c r="K49" s="83" t="s">
        <v>127</v>
      </c>
    </row>
    <row r="50" ht="19.5" customHeight="1" spans="1:13">
      <c r="A50" s="35"/>
      <c r="B50" s="35"/>
      <c r="C50" s="35"/>
      <c r="D50" s="49"/>
      <c r="E50" s="35"/>
      <c r="F50" s="35"/>
      <c r="G50" s="49"/>
      <c r="H50" s="35"/>
      <c r="I50" s="35"/>
      <c r="J50" s="49"/>
    </row>
    <row r="51" ht="19.5" customHeight="1" spans="1:13">
      <c r="A51" s="84" t="s">
        <v>116</v>
      </c>
      <c r="J51" s="49"/>
    </row>
    <row r="52" ht="19.5" customHeight="1" spans="1:13">
      <c r="A52" s="84" t="s">
        <v>87</v>
      </c>
      <c r="J52" s="49"/>
      <c r="K52" s="35"/>
      <c r="L52" s="35"/>
      <c r="M52" s="35"/>
    </row>
    <row r="53" ht="19.5" customHeight="1" spans="1:13">
      <c r="A53" s="85" t="s">
        <v>128</v>
      </c>
    </row>
    <row r="54" ht="27" customHeight="1" spans="1:13">
      <c r="A54" s="17"/>
      <c r="B54" s="86" t="s">
        <v>129</v>
      </c>
      <c r="C54" s="86" t="s">
        <v>130</v>
      </c>
      <c r="D54" s="86" t="s">
        <v>131</v>
      </c>
      <c r="E54" s="86" t="s">
        <v>132</v>
      </c>
      <c r="F54" s="86" t="s">
        <v>133</v>
      </c>
      <c r="G54" s="86" t="s">
        <v>134</v>
      </c>
      <c r="H54" s="86" t="s">
        <v>135</v>
      </c>
      <c r="I54" s="86" t="s">
        <v>136</v>
      </c>
      <c r="J54" s="86" t="s">
        <v>137</v>
      </c>
      <c r="K54" s="86" t="s">
        <v>138</v>
      </c>
      <c r="L54" s="86" t="s">
        <v>139</v>
      </c>
      <c r="M54" s="86" t="s">
        <v>140</v>
      </c>
    </row>
    <row r="55" ht="19.5" customHeight="1" spans="1:13">
      <c r="A55" s="89" t="s">
        <v>68</v>
      </c>
      <c r="B55" s="8">
        <f>'50 изол (каолин)'!B55*0.9</f>
        <v>2545.5375</v>
      </c>
      <c r="C55" s="8">
        <f>'50 изол (каолин)'!C55*0.9</f>
        <v>2719.7775</v>
      </c>
      <c r="D55" s="88">
        <f>'50 изол (каолин)'!D55*0.9</f>
        <v>2938.93875</v>
      </c>
      <c r="E55" s="8">
        <f>'50 изол (каолин)'!E55*0.9</f>
        <v>3057.3675</v>
      </c>
      <c r="F55" s="8">
        <f>'50 изол (каолин)'!F55*0.9</f>
        <v>3355.48125</v>
      </c>
      <c r="G55" s="88">
        <f>'50 изол (каолин)'!G55*0.9</f>
        <v>3590.9775</v>
      </c>
      <c r="H55" s="8">
        <f>'50 изол (каолин)'!H55*0.9</f>
        <v>3818.30625</v>
      </c>
      <c r="I55" s="8">
        <f>'50 изол (каолин)'!I55*0.9</f>
        <v>4108.2525</v>
      </c>
      <c r="J55" s="88">
        <f>'50 изол (каолин)'!J55*0.9</f>
        <v>4644.585</v>
      </c>
      <c r="K55" s="8">
        <f>'50 изол (каолин)'!K55*0.9</f>
        <v>5451.80625</v>
      </c>
      <c r="L55" s="8">
        <f>'50 изол (каолин)'!L55*0.9</f>
        <v>5936.41125</v>
      </c>
      <c r="M55" s="8">
        <f>'50 изол (каолин)'!M55*0.9</f>
        <v>6260.38875</v>
      </c>
    </row>
    <row r="56" ht="19.5" customHeight="1" spans="1:13">
      <c r="A56" s="89" t="s">
        <v>18</v>
      </c>
      <c r="B56" s="8">
        <f>'50 изол (каолин)'!B56*0.9</f>
        <v>2171.19375</v>
      </c>
      <c r="C56" s="8">
        <f>'50 изол (каолин)'!C56*0.9</f>
        <v>2314.125</v>
      </c>
      <c r="D56" s="88">
        <f>'50 изол (каолин)'!D56*0.9</f>
        <v>2482.92</v>
      </c>
      <c r="E56" s="8">
        <f>'50 изол (каолин)'!E56*0.9</f>
        <v>2687.1075</v>
      </c>
      <c r="F56" s="8">
        <f>'50 изол (каолин)'!F56*0.9</f>
        <v>2870.87625</v>
      </c>
      <c r="G56" s="88">
        <f>'50 изол (каолин)'!G56*0.9</f>
        <v>3016.53</v>
      </c>
      <c r="H56" s="8">
        <f>'50 изол (каолин)'!H56*0.9</f>
        <v>3096.84375</v>
      </c>
      <c r="I56" s="8">
        <f>'50 изол (каолин)'!I56*0.9</f>
        <v>3307.8375</v>
      </c>
      <c r="J56" s="88">
        <f>'50 изол (каолин)'!J56*0.9</f>
        <v>3716.2125</v>
      </c>
      <c r="K56" s="8">
        <f>'50 изол (каолин)'!K56*0.9</f>
        <v>4328.775</v>
      </c>
      <c r="L56" s="8">
        <f>'50 изол (каолин)'!L56*0.9</f>
        <v>4694.95125</v>
      </c>
      <c r="M56" s="8">
        <f>'50 изол (каолин)'!M56*0.9</f>
        <v>4941.3375</v>
      </c>
    </row>
    <row r="57" ht="19.5" customHeight="1" spans="1:13">
      <c r="A57" s="89" t="s">
        <v>19</v>
      </c>
      <c r="B57" s="8">
        <f>'50 изол (каолин)'!B57*0.9</f>
        <v>1780.515</v>
      </c>
      <c r="C57" s="8">
        <f>'50 изол (каолин)'!C57*0.9</f>
        <v>1901.66625</v>
      </c>
      <c r="D57" s="88">
        <f>'50 изол (каолин)'!D57*0.9</f>
        <v>2025.54</v>
      </c>
      <c r="E57" s="8">
        <f>'50 изол (каолин)'!E57*0.9</f>
        <v>2201.14125</v>
      </c>
      <c r="F57" s="8">
        <f>'50 изол (каолин)'!F57*0.9</f>
        <v>2323.65375</v>
      </c>
      <c r="G57" s="88">
        <f>'50 изол (каолин)'!G57*0.9</f>
        <v>2544.17625</v>
      </c>
      <c r="H57" s="8">
        <f>'50 изол (каолин)'!H57*0.9</f>
        <v>2598.62625</v>
      </c>
      <c r="I57" s="8">
        <f>'50 изол (каолин)'!I57*0.9</f>
        <v>2738.835</v>
      </c>
      <c r="J57" s="88">
        <f>'50 изол (каолин)'!J57*0.9</f>
        <v>3020.61375</v>
      </c>
      <c r="K57" s="8">
        <f>'50 изол (каолин)'!K57*0.9</f>
        <v>3435.795</v>
      </c>
      <c r="L57" s="8">
        <f>'50 изол (каолин)'!L57*0.9</f>
        <v>3683.5425</v>
      </c>
      <c r="M57" s="8">
        <f>'50 изол (каолин)'!M57*0.9</f>
        <v>3850.97625</v>
      </c>
    </row>
    <row r="58" ht="19.5" customHeight="1" spans="1:13">
      <c r="A58" s="89" t="s">
        <v>20</v>
      </c>
      <c r="B58" s="8">
        <f>'50 изол (каолин)'!B58*0.9</f>
        <v>1476.95625</v>
      </c>
      <c r="C58" s="8">
        <f>'50 изол (каолин)'!C58*0.9</f>
        <v>1629.41625</v>
      </c>
      <c r="D58" s="88">
        <f>'50 изол (каолин)'!D58*0.9</f>
        <v>1717.8975</v>
      </c>
      <c r="E58" s="8">
        <f>'50 изол (каолин)'!E58*0.9</f>
        <v>1776.43125</v>
      </c>
      <c r="F58" s="8">
        <f>'50 изол (каолин)'!F58*0.9</f>
        <v>1939.78125</v>
      </c>
      <c r="G58" s="88">
        <f>'50 изол (каолин)'!G58*0.9</f>
        <v>2033.7075</v>
      </c>
      <c r="H58" s="8">
        <f>'50 изол (каолин)'!H58*0.9</f>
        <v>2075.90625</v>
      </c>
      <c r="I58" s="8">
        <f>'50 изол (каолин)'!I58*0.9</f>
        <v>2229.7275</v>
      </c>
      <c r="J58" s="88">
        <f>'50 изол (каолин)'!J58*0.9</f>
        <v>2436.6375</v>
      </c>
      <c r="K58" s="8">
        <f>'50 изол (каолин)'!K58*0.9</f>
        <v>2983.86</v>
      </c>
      <c r="L58" s="8">
        <f>'50 изол (каолин)'!L58*0.9</f>
        <v>3243.85875</v>
      </c>
      <c r="M58" s="8">
        <f>'50 изол (каолин)'!M58*0.9</f>
        <v>3397.68</v>
      </c>
    </row>
    <row r="59" ht="19.5" customHeight="1" spans="1:13">
      <c r="A59" s="89" t="s">
        <v>21</v>
      </c>
      <c r="B59" s="8">
        <f>'50 изол (каолин)'!B59*0.9</f>
        <v>1187.01</v>
      </c>
      <c r="C59" s="8">
        <f>'50 изол (каолин)'!C59*0.9</f>
        <v>1320.4125</v>
      </c>
      <c r="D59" s="88">
        <f>'50 изол (каолин)'!D59*0.9</f>
        <v>1380.3075</v>
      </c>
      <c r="E59" s="8">
        <f>'50 изол (каолин)'!E59*0.9</f>
        <v>1421.145</v>
      </c>
      <c r="F59" s="8">
        <f>'50 изол (каолин)'!F59*0.9</f>
        <v>1536.85125</v>
      </c>
      <c r="G59" s="88">
        <f>'50 изол (каолин)'!G59*0.9</f>
        <v>1726.065</v>
      </c>
      <c r="H59" s="8">
        <f>'50 изол (каолин)'!H59*0.9</f>
        <v>1754.65125</v>
      </c>
      <c r="I59" s="8">
        <f>'50 изол (каолин)'!I59*0.9</f>
        <v>1859.4675</v>
      </c>
      <c r="J59" s="88">
        <f>'50 изол (каолин)'!J59*0.9</f>
        <v>2090.88</v>
      </c>
      <c r="K59" s="8">
        <f>'50 изол (каолин)'!K59*0.9</f>
        <v>2405.32875</v>
      </c>
      <c r="L59" s="8">
        <f>'50 изол (каолин)'!L59*0.9</f>
        <v>2594.5425</v>
      </c>
      <c r="M59" s="8">
        <f>'50 изол (каолин)'!M59*0.9</f>
        <v>2707.52625</v>
      </c>
    </row>
    <row r="60" ht="19.5" customHeight="1" spans="1:13">
      <c r="A60" s="89" t="s">
        <v>22</v>
      </c>
      <c r="B60" s="8">
        <f>'50 изол (каолин)'!B60*0.9</f>
        <v>995.07375</v>
      </c>
      <c r="C60" s="8">
        <f>'50 изол (каолин)'!C60*0.9</f>
        <v>1121.67</v>
      </c>
      <c r="D60" s="88">
        <f>'50 изол (каолин)'!D60*0.9</f>
        <v>1157.0625</v>
      </c>
      <c r="E60" s="8">
        <f>'50 изол (каолин)'!E60*0.9</f>
        <v>1182.92625</v>
      </c>
      <c r="F60" s="8">
        <f>'50 изол (каолин)'!F60*0.9</f>
        <v>1252.35</v>
      </c>
      <c r="G60" s="88">
        <f>'50 изол (каолин)'!G60*0.9</f>
        <v>1305.43875</v>
      </c>
      <c r="H60" s="8">
        <f>'50 изол (каолин)'!H60*0.9</f>
        <v>1323.135</v>
      </c>
      <c r="I60" s="8">
        <f>'50 изол (каолин)'!I60*0.9</f>
        <v>1385.7525</v>
      </c>
      <c r="J60" s="88">
        <f>'50 изол (каолин)'!J60*0.9</f>
        <v>1534.12875</v>
      </c>
      <c r="K60" s="8">
        <f>'50 изол (каолин)'!K60*0.9</f>
        <v>1726.065</v>
      </c>
      <c r="L60" s="8">
        <f>'50 изол (каолин)'!L60*0.9</f>
        <v>1841.77125</v>
      </c>
      <c r="M60" s="8">
        <f>'50 изол (каолин)'!M60*0.9</f>
        <v>1909.83375</v>
      </c>
    </row>
    <row r="61" ht="19.5" customHeight="1" spans="1:13">
      <c r="A61" s="89" t="s">
        <v>23</v>
      </c>
      <c r="B61" s="8">
        <f>'50 изол (каолин)'!B61*0.9</f>
        <v>2928.04875</v>
      </c>
      <c r="C61" s="8">
        <f>'50 изол (каолин)'!C61*0.9</f>
        <v>3096.84375</v>
      </c>
      <c r="D61" s="88">
        <f>'50 изол (каолин)'!D61*0.9</f>
        <v>3268.36125</v>
      </c>
      <c r="E61" s="8">
        <f>'50 изол (каолин)'!E61*0.9</f>
        <v>3452.13</v>
      </c>
      <c r="F61" s="8">
        <f>'50 изол (каолин)'!F61*0.9</f>
        <v>3509.3025</v>
      </c>
      <c r="G61" s="88">
        <f>'50 изол (каолин)'!G61*0.9</f>
        <v>3683.5425</v>
      </c>
      <c r="H61" s="8">
        <f>'50 изол (каолин)'!H61*0.9</f>
        <v>3992.54625</v>
      </c>
      <c r="I61" s="8">
        <f>'50 изол (каолин)'!I61*0.9</f>
        <v>4455.37125</v>
      </c>
      <c r="J61" s="88">
        <f>'50 изол (каолин)'!J61*0.9</f>
        <v>5247.61875</v>
      </c>
      <c r="K61" s="8">
        <f>'50 изол (каолин)'!K61*0.9</f>
        <v>6429.18375</v>
      </c>
      <c r="L61" s="8">
        <f>'50 изол (каолин)'!L61*0.9</f>
        <v>7139.75625</v>
      </c>
      <c r="M61" s="8">
        <f>'50 изол (каолин)'!M61*0.9</f>
        <v>7612.11</v>
      </c>
    </row>
    <row r="62" ht="19.5" customHeight="1" spans="1:13">
      <c r="A62" s="89" t="s">
        <v>24</v>
      </c>
      <c r="B62" s="8">
        <f>'50 изол (каолин)'!B62*0.9</f>
        <v>2696.63625</v>
      </c>
      <c r="C62" s="8">
        <f>'50 изол (каолин)'!C62*0.9</f>
        <v>2865.43125</v>
      </c>
      <c r="D62" s="88">
        <f>'50 изол (каолин)'!D62*0.9</f>
        <v>3036.94875</v>
      </c>
      <c r="E62" s="8">
        <f>'50 изол (каолин)'!E62*0.9</f>
        <v>3220.7175</v>
      </c>
      <c r="F62" s="8">
        <f>'50 изол (каолин)'!F62*0.9</f>
        <v>3277.89</v>
      </c>
      <c r="G62" s="88">
        <f>'50 изол (каолин)'!G62*0.9</f>
        <v>3452.13</v>
      </c>
      <c r="H62" s="8">
        <f>'50 изол (каолин)'!H62*0.9</f>
        <v>3761.13375</v>
      </c>
      <c r="I62" s="8">
        <f>'50 изол (каолин)'!I62*0.9</f>
        <v>4223.95875</v>
      </c>
      <c r="J62" s="88">
        <f>'50 изол (каолин)'!J62*0.9</f>
        <v>5016.20625</v>
      </c>
      <c r="K62" s="8">
        <f>'50 изол (каолин)'!K62*0.9</f>
        <v>6197.77125</v>
      </c>
      <c r="L62" s="8">
        <f>'50 изол (каолин)'!L62*0.9</f>
        <v>6908.34375</v>
      </c>
      <c r="M62" s="8">
        <f>'50 изол (каолин)'!M62*0.9</f>
        <v>7380.6975</v>
      </c>
    </row>
    <row r="63" ht="19.5" customHeight="1" spans="1:13">
      <c r="A63" s="89" t="s">
        <v>26</v>
      </c>
      <c r="B63" s="8">
        <f>'50 изол (каолин)'!B63*0.9</f>
        <v>4177.67625</v>
      </c>
      <c r="C63" s="8">
        <f>'50 изол (каолин)'!C63*0.9</f>
        <v>4342.3875</v>
      </c>
      <c r="D63" s="88">
        <f>'50 изол (каолин)'!D63*0.9</f>
        <v>4590.135</v>
      </c>
      <c r="E63" s="8">
        <f>'50 изол (каолин)'!E63*0.9</f>
        <v>5048.87625</v>
      </c>
      <c r="F63" s="8">
        <f>'50 изол (каолин)'!F63*0.9</f>
        <v>5261.23125</v>
      </c>
      <c r="G63" s="88">
        <f>'50 изол (каолин)'!G63*0.9</f>
        <v>5624.685</v>
      </c>
      <c r="H63" s="8">
        <f>'50 изол (каолин)'!H63*0.9</f>
        <v>5951.385</v>
      </c>
      <c r="I63" s="8">
        <f>'50 изол (каолин)'!I63*0.9</f>
        <v>6642.9</v>
      </c>
      <c r="J63" s="88">
        <f>'50 изол (каолин)'!J63*0.9</f>
        <v>7098.91875</v>
      </c>
      <c r="K63" s="8">
        <f>'50 изол (каолин)'!K63*0.9</f>
        <v>8765.08875</v>
      </c>
      <c r="L63" s="8">
        <f>'50 изол (каолин)'!L63*0.9</f>
        <v>9764.24625</v>
      </c>
      <c r="M63" s="8">
        <f>'50 изол (каолин)'!M63*0.9</f>
        <v>10431.25875</v>
      </c>
    </row>
    <row r="64" ht="19.5" customHeight="1" spans="1:13">
      <c r="A64" s="89" t="s">
        <v>27</v>
      </c>
      <c r="B64" s="8">
        <f>'50 изол (каолин)'!B64*0.9</f>
        <v>5413.69125</v>
      </c>
      <c r="C64" s="8">
        <f>'50 изол (каолин)'!C64*0.9</f>
        <v>5563.42875</v>
      </c>
      <c r="D64" s="88">
        <f>'50 изол (каолин)'!D64*0.9</f>
        <v>5801.6475</v>
      </c>
      <c r="E64" s="8">
        <f>'50 изол (каолин)'!E64*0.9</f>
        <v>6329.8125</v>
      </c>
      <c r="F64" s="8">
        <f>'50 изол (каолин)'!F64*0.9</f>
        <v>6529.91625</v>
      </c>
      <c r="G64" s="88">
        <f>'50 изол (каолин)'!G64*0.9</f>
        <v>7244.5725</v>
      </c>
      <c r="H64" s="8">
        <f>'50 изол (каолин)'!H64*0.9</f>
        <v>7839.43875</v>
      </c>
      <c r="I64" s="8">
        <f>'50 изол (каолин)'!I64*0.9</f>
        <v>8528.23125</v>
      </c>
      <c r="J64" s="88">
        <f>'50 изол (каолин)'!J64*0.9</f>
        <v>9954.82125</v>
      </c>
      <c r="K64" s="8">
        <f>'50 изол (каолин)'!K64*0.9</f>
        <v>11661.82875</v>
      </c>
      <c r="L64" s="8">
        <f>'50 изол (каолин)'!L64*0.9</f>
        <v>12685.48875</v>
      </c>
      <c r="M64" s="8">
        <f>'50 изол (каолин)'!M64*0.9</f>
        <v>13300.77375</v>
      </c>
    </row>
    <row r="65" ht="19.5" customHeight="1" spans="1:14">
      <c r="A65" s="89" t="s">
        <v>70</v>
      </c>
      <c r="B65" s="8">
        <f>'50 изол (каолин)'!B65*0.9</f>
        <v>10054.1925</v>
      </c>
      <c r="C65" s="8">
        <f>'50 изол (каолин)'!C65*0.9</f>
        <v>10367.28</v>
      </c>
      <c r="D65" s="88">
        <f>'50 изол (каолин)'!D65*0.9</f>
        <v>10631.3625</v>
      </c>
      <c r="E65" s="8">
        <f>'50 изол (каолин)'!E65*0.9</f>
        <v>10926.75375</v>
      </c>
      <c r="F65" s="8">
        <f>'50 изол (каолин)'!F65*0.9</f>
        <v>11258.89875</v>
      </c>
      <c r="G65" s="88">
        <f>'50 изол (каолин)'!G65*0.9</f>
        <v>12014.3925</v>
      </c>
      <c r="H65" s="8">
        <f>'50 изол (каолин)'!H65*0.9</f>
        <v>12414.6</v>
      </c>
      <c r="I65" s="8">
        <f>'50 изол (каолин)'!I65*0.9</f>
        <v>13277.6325</v>
      </c>
      <c r="J65" s="88">
        <f>'50 изол (каолин)'!J65*0.9</f>
        <v>14890.71375</v>
      </c>
      <c r="K65" s="8">
        <f>'50 изол (каолин)'!K65*0.9</f>
        <v>17558.76375</v>
      </c>
      <c r="L65" s="8">
        <f>'50 изол (каолин)'!L65*0.9</f>
        <v>19159.59375</v>
      </c>
      <c r="M65" s="8">
        <f>'50 изол (каолин)'!M65*0.9</f>
        <v>11802.0375</v>
      </c>
    </row>
    <row r="66" ht="19.5" customHeight="1" spans="1:14">
      <c r="A66" s="89" t="s">
        <v>71</v>
      </c>
      <c r="B66" s="8">
        <f>'50 изол (каолин)'!B66*0.9</f>
        <v>1142.08875</v>
      </c>
      <c r="C66" s="8">
        <f>'50 изол (каолин)'!C66*0.9</f>
        <v>1166.59125</v>
      </c>
      <c r="D66" s="88">
        <f>'50 изол (каолин)'!D66*0.9</f>
        <v>1249.6275</v>
      </c>
      <c r="E66" s="8">
        <f>'50 изол (каолин)'!E66*0.9</f>
        <v>1384.39125</v>
      </c>
      <c r="F66" s="8">
        <f>'50 изол (каолин)'!F66*0.9</f>
        <v>1487.84625</v>
      </c>
      <c r="G66" s="88">
        <f>'50 изол (каолин)'!G66*0.9</f>
        <v>1577.68875</v>
      </c>
      <c r="H66" s="8">
        <f>'50 изол (каолин)'!H66*0.9</f>
        <v>1713.81375</v>
      </c>
      <c r="I66" s="8">
        <f>'50 изол (каолин)'!I66*0.9</f>
        <v>1770.98625</v>
      </c>
      <c r="J66" s="88">
        <f>'50 изол (каолин)'!J66*0.9</f>
        <v>1979.2575</v>
      </c>
      <c r="K66" s="8">
        <f>'50 изол (каолин)'!K66*0.9</f>
        <v>2263.75875</v>
      </c>
      <c r="L66" s="8">
        <f>'50 изол (каолин)'!L66*0.9</f>
        <v>2435.27625</v>
      </c>
      <c r="M66" s="8">
        <f>'50 изол (каолин)'!M66*0.9</f>
        <v>2537.37</v>
      </c>
    </row>
    <row r="67" ht="19.5" customHeight="1" spans="1:14">
      <c r="A67" s="89" t="s">
        <v>72</v>
      </c>
      <c r="B67" s="8">
        <f>'50 изол (каолин)'!B67*0.9</f>
        <v>3404.48625</v>
      </c>
      <c r="C67" s="8">
        <f>'50 изол (каолин)'!C67*0.9</f>
        <v>3506.58</v>
      </c>
      <c r="D67" s="88">
        <f>'50 изол (каолин)'!D67*0.9</f>
        <v>3550.14</v>
      </c>
      <c r="E67" s="8">
        <f>'50 изол (каолин)'!E67*0.9</f>
        <v>3686.265</v>
      </c>
      <c r="F67" s="8">
        <f>'50 изол (каолин)'!F67*0.9</f>
        <v>3807.41625</v>
      </c>
      <c r="G67" s="88">
        <f>'50 изол (каолин)'!G67*0.9</f>
        <v>4100.085</v>
      </c>
      <c r="H67" s="8">
        <f>'50 изол (каолин)'!H67*0.9</f>
        <v>4234.84875</v>
      </c>
      <c r="I67" s="8">
        <f>'50 изол (каолин)'!I67*0.9</f>
        <v>4531.60125</v>
      </c>
      <c r="J67" s="88">
        <f>'50 изол (каолин)'!J67*0.9</f>
        <v>5086.99125</v>
      </c>
      <c r="K67" s="8">
        <f>'50 изол (каолин)'!K67*0.9</f>
        <v>6136.515</v>
      </c>
      <c r="L67" s="8">
        <f>'50 изол (каолин)'!L67*0.9</f>
        <v>6765.4125</v>
      </c>
      <c r="M67" s="8">
        <f>'50 изол (каолин)'!M67*0.9</f>
        <v>7143.84</v>
      </c>
    </row>
    <row r="68" ht="19.5" customHeight="1" spans="1:14">
      <c r="A68" s="89" t="s">
        <v>73</v>
      </c>
      <c r="B68" s="8">
        <f>'50 изол (каолин)'!B68*0.9</f>
        <v>1285.02</v>
      </c>
      <c r="C68" s="8">
        <f>'50 изол (каолин)'!C68*0.9</f>
        <v>1325.8575</v>
      </c>
      <c r="D68" s="88">
        <f>'50 изол (каолин)'!D68*0.9</f>
        <v>1404.81</v>
      </c>
      <c r="E68" s="8">
        <f>'50 изол (каолин)'!E68*0.9</f>
        <v>1554.5475</v>
      </c>
      <c r="F68" s="8">
        <f>'50 изол (каолин)'!F68*0.9</f>
        <v>1617.165</v>
      </c>
      <c r="G68" s="88">
        <f>'50 изол (каолин)'!G68*0.9</f>
        <v>1800.93375</v>
      </c>
      <c r="H68" s="8">
        <f>'50 изол (каолин)'!H68*0.9</f>
        <v>1967.00625</v>
      </c>
      <c r="I68" s="8">
        <f>'50 изол (каолин)'!I68*0.9</f>
        <v>2251.5075</v>
      </c>
      <c r="J68" s="88">
        <f>'50 изол (каолин)'!J68*0.9</f>
        <v>2436.6375</v>
      </c>
      <c r="K68" s="8">
        <f>'50 изол (каолин)'!K68*0.9</f>
        <v>2884.48875</v>
      </c>
      <c r="L68" s="8">
        <f>'50 изол (каолин)'!L68*0.9</f>
        <v>3152.655</v>
      </c>
      <c r="M68" s="8">
        <f>'50 изол (каолин)'!M68*0.9</f>
        <v>3314.64375</v>
      </c>
    </row>
    <row r="69" ht="19.5" customHeight="1" spans="1:14">
      <c r="A69" s="89" t="s">
        <v>74</v>
      </c>
      <c r="B69" s="8">
        <f>'50 изол (каолин)'!B69*0.9</f>
        <v>1692.03375</v>
      </c>
      <c r="C69" s="8">
        <f>'50 изол (каолин)'!C69*0.9</f>
        <v>1750.5675</v>
      </c>
      <c r="D69" s="88">
        <f>'50 изол (каолин)'!D69*0.9</f>
        <v>1956.11625</v>
      </c>
      <c r="E69" s="8">
        <f>'50 изол (каолин)'!E69*0.9</f>
        <v>2003.76</v>
      </c>
      <c r="F69" s="8">
        <f>'50 изол (каолин)'!F69*0.9</f>
        <v>2141.24625</v>
      </c>
      <c r="G69" s="88">
        <f>'50 изол (каолин)'!G69*0.9</f>
        <v>2467.94625</v>
      </c>
      <c r="H69" s="8">
        <f>'50 изол (каолин)'!H69*0.9</f>
        <v>2590.45875</v>
      </c>
      <c r="I69" s="8">
        <f>'50 изол (каолин)'!I69*0.9</f>
        <v>2845.0125</v>
      </c>
      <c r="J69" s="88">
        <f>'50 изол (каолин)'!J69*0.9</f>
        <v>3050.56125</v>
      </c>
      <c r="K69" s="8">
        <f>'50 изол (каолин)'!K69*0.9</f>
        <v>3713.49</v>
      </c>
      <c r="L69" s="8">
        <f>'50 изол (каолин)'!L69*0.9</f>
        <v>4110.975</v>
      </c>
      <c r="M69" s="8">
        <f>'50 изол (каолин)'!M69*0.9</f>
        <v>4349.19375</v>
      </c>
    </row>
    <row r="70" ht="19.5" customHeight="1" spans="1:14">
      <c r="A70" s="35"/>
      <c r="B70" s="35"/>
      <c r="C70" s="35"/>
      <c r="D70" s="49"/>
      <c r="E70" s="35"/>
      <c r="F70" s="35"/>
      <c r="G70" s="49"/>
      <c r="H70" s="35"/>
      <c r="I70" s="35"/>
      <c r="J70" s="49"/>
      <c r="K70" s="35"/>
      <c r="L70" s="35"/>
      <c r="M70" s="35"/>
    </row>
    <row r="71" ht="19.5" customHeight="1" spans="1:14">
      <c r="A71" s="82" t="s">
        <v>35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5"/>
    </row>
    <row r="72" ht="19.5" customHeight="1" spans="1:14">
      <c r="A72" s="35"/>
      <c r="B72" s="35"/>
      <c r="C72" s="35"/>
      <c r="D72" s="49"/>
      <c r="E72" s="35"/>
      <c r="F72" s="35"/>
      <c r="G72" s="49"/>
      <c r="H72" s="35"/>
      <c r="I72" s="35"/>
      <c r="J72" s="49"/>
      <c r="K72" s="83" t="s">
        <v>127</v>
      </c>
    </row>
    <row r="73" ht="19.5" customHeight="1" spans="1:14">
      <c r="A73" s="35"/>
      <c r="B73" s="35"/>
      <c r="C73" s="35"/>
      <c r="D73" s="49"/>
      <c r="E73" s="35"/>
      <c r="F73" s="35"/>
      <c r="G73" s="49"/>
      <c r="H73" s="35"/>
      <c r="I73" s="35"/>
      <c r="J73" s="49"/>
    </row>
    <row r="74" ht="19.5" customHeight="1" spans="1:14">
      <c r="A74" s="84" t="s">
        <v>85</v>
      </c>
      <c r="J74" s="49"/>
    </row>
    <row r="75" ht="19.5" customHeight="1" spans="1:14">
      <c r="A75" s="84" t="s">
        <v>87</v>
      </c>
      <c r="J75" s="49"/>
      <c r="K75" s="35"/>
      <c r="L75" s="35"/>
      <c r="M75" s="35"/>
    </row>
    <row r="76" ht="19.5" customHeight="1" spans="1:14">
      <c r="A76" s="85" t="s">
        <v>128</v>
      </c>
    </row>
    <row r="77" ht="27" customHeight="1" spans="1:14">
      <c r="A77" s="17"/>
      <c r="B77" s="86" t="s">
        <v>129</v>
      </c>
      <c r="C77" s="86" t="s">
        <v>130</v>
      </c>
      <c r="D77" s="86" t="s">
        <v>131</v>
      </c>
      <c r="E77" s="86" t="s">
        <v>132</v>
      </c>
      <c r="F77" s="86" t="s">
        <v>133</v>
      </c>
      <c r="G77" s="86" t="s">
        <v>134</v>
      </c>
      <c r="H77" s="86" t="s">
        <v>135</v>
      </c>
      <c r="I77" s="86" t="s">
        <v>136</v>
      </c>
      <c r="J77" s="86" t="s">
        <v>137</v>
      </c>
      <c r="K77" s="86" t="s">
        <v>138</v>
      </c>
      <c r="L77" s="86" t="s">
        <v>139</v>
      </c>
      <c r="M77" s="86" t="s">
        <v>140</v>
      </c>
    </row>
    <row r="78" ht="19.5" customHeight="1" spans="1:14">
      <c r="A78" s="89" t="s">
        <v>68</v>
      </c>
      <c r="B78" s="8">
        <f>'50 изол (каолин)'!B78*0.9</f>
        <v>3066.89625</v>
      </c>
      <c r="C78" s="8">
        <f>'50 изол (каолин)'!C78*0.9</f>
        <v>3216.63375</v>
      </c>
      <c r="D78" s="88">
        <f>'50 изол (каолин)'!D78*0.9</f>
        <v>3491.60625</v>
      </c>
      <c r="E78" s="8">
        <f>'50 изол (каолин)'!E78*0.9</f>
        <v>3899.98125</v>
      </c>
      <c r="F78" s="8">
        <f>'50 изол (каолин)'!F78*0.9</f>
        <v>4049.71875</v>
      </c>
      <c r="G78" s="88">
        <f>'50 изол (каолин)'!G78*0.9</f>
        <v>4155.89625</v>
      </c>
      <c r="H78" s="8">
        <f>'50 изол (каолин)'!H78*0.9</f>
        <v>5037.98625</v>
      </c>
      <c r="I78" s="8">
        <f>'50 изол (каолин)'!I78*0.9</f>
        <v>5289.8175</v>
      </c>
      <c r="J78" s="88">
        <f>'50 изол (каолин)'!J78*0.9</f>
        <v>5549.81625</v>
      </c>
      <c r="K78" s="8">
        <f>'50 изол (каолин)'!K78*0.9</f>
        <v>7058.08125</v>
      </c>
      <c r="L78" s="8">
        <f>'50 изол (каолин)'!L78*0.9</f>
        <v>7963.3125</v>
      </c>
      <c r="M78" s="8">
        <f>'50 изол (каолин)'!M78*0.9</f>
        <v>8566.34625</v>
      </c>
    </row>
    <row r="79" ht="19.5" customHeight="1" spans="1:14">
      <c r="A79" s="89" t="s">
        <v>18</v>
      </c>
      <c r="B79" s="8">
        <f>'50 изол (каолин)'!B79*0.9</f>
        <v>2545.5375</v>
      </c>
      <c r="C79" s="8">
        <f>'50 изол (каолин)'!C79*0.9</f>
        <v>2711.61</v>
      </c>
      <c r="D79" s="88">
        <f>'50 изол (каолин)'!D79*0.9</f>
        <v>2971.60875</v>
      </c>
      <c r="E79" s="8">
        <f>'50 изол (каолин)'!E79*0.9</f>
        <v>3355.48125</v>
      </c>
      <c r="F79" s="8">
        <f>'50 изол (каолин)'!F79*0.9</f>
        <v>3471.1875</v>
      </c>
      <c r="G79" s="88">
        <f>'50 изол (каолин)'!G79*0.9</f>
        <v>3576.00375</v>
      </c>
      <c r="H79" s="8">
        <f>'50 изол (каолин)'!H79*0.9</f>
        <v>4285.215</v>
      </c>
      <c r="I79" s="8">
        <f>'50 изол (каолин)'!I79*0.9</f>
        <v>4512.54375</v>
      </c>
      <c r="J79" s="88">
        <f>'50 изол (каолин)'!J79*0.9</f>
        <v>4681.33875</v>
      </c>
      <c r="K79" s="8">
        <f>'50 изол (каолин)'!K79*0.9</f>
        <v>6016.725</v>
      </c>
      <c r="L79" s="8">
        <f>'50 изол (каолин)'!L79*0.9</f>
        <v>6817.14</v>
      </c>
      <c r="M79" s="8">
        <f>'50 изол (каолин)'!M79*0.9</f>
        <v>7352.11125</v>
      </c>
    </row>
    <row r="80" ht="19.5" customHeight="1" spans="1:14">
      <c r="A80" s="89" t="s">
        <v>19</v>
      </c>
      <c r="B80" s="8">
        <f>'50 изол (каолин)'!B80*0.9</f>
        <v>2112.66</v>
      </c>
      <c r="C80" s="8">
        <f>'50 изол (каолин)'!C80*0.9</f>
        <v>2198.41875</v>
      </c>
      <c r="D80" s="88">
        <f>'50 изол (каолин)'!D80*0.9</f>
        <v>2429.83125</v>
      </c>
      <c r="E80" s="8">
        <f>'50 изол (каолин)'!E80*0.9</f>
        <v>2703.4425</v>
      </c>
      <c r="F80" s="8">
        <f>'50 изол (каолин)'!F80*0.9</f>
        <v>2835.48375</v>
      </c>
      <c r="G80" s="88">
        <f>'50 изол (каолин)'!G80*0.9</f>
        <v>2892.65625</v>
      </c>
      <c r="H80" s="8">
        <f>'50 изол (каолин)'!H80*0.9</f>
        <v>3533.805</v>
      </c>
      <c r="I80" s="8">
        <f>'50 изол (каолин)'!I80*0.9</f>
        <v>3723.01875</v>
      </c>
      <c r="J80" s="88">
        <f>'50 изол (каолин)'!J80*0.9</f>
        <v>3867.31125</v>
      </c>
      <c r="K80" s="8">
        <f>'50 изол (каолин)'!K80*0.9</f>
        <v>5054.32125</v>
      </c>
      <c r="L80" s="8">
        <f>'50 изол (каолин)'!L80*0.9</f>
        <v>5766.255</v>
      </c>
      <c r="M80" s="8">
        <f>'50 изол (каолин)'!M80*0.9</f>
        <v>6241.33125</v>
      </c>
    </row>
    <row r="81" ht="19.5" customHeight="1" spans="1:14">
      <c r="A81" s="89" t="s">
        <v>20</v>
      </c>
      <c r="B81" s="8">
        <f>'50 изол (каолин)'!B81*0.9</f>
        <v>1702.92375</v>
      </c>
      <c r="C81" s="8">
        <f>'50 изол (каолин)'!C81*0.9</f>
        <v>1738.31625</v>
      </c>
      <c r="D81" s="88">
        <f>'50 изол (каолин)'!D81*0.9</f>
        <v>1923.44625</v>
      </c>
      <c r="E81" s="8">
        <f>'50 изол (каолин)'!E81*0.9</f>
        <v>2270.565</v>
      </c>
      <c r="F81" s="8">
        <f>'50 изол (каолин)'!F81*0.9</f>
        <v>2352.24</v>
      </c>
      <c r="G81" s="88">
        <f>'50 изол (каолин)'!G81*0.9</f>
        <v>2429.83125</v>
      </c>
      <c r="H81" s="8">
        <f>'50 изол (каолин)'!H81*0.9</f>
        <v>2766.06</v>
      </c>
      <c r="I81" s="8">
        <f>'50 изол (каолин)'!I81*0.9</f>
        <v>2979.77625</v>
      </c>
      <c r="J81" s="88">
        <f>'50 изол (каолин)'!J81*0.9</f>
        <v>3411.2925</v>
      </c>
      <c r="K81" s="8">
        <f>'50 изол (каолин)'!K81*0.9</f>
        <v>4007.52</v>
      </c>
      <c r="L81" s="8">
        <f>'50 изол (каолин)'!L81*0.9</f>
        <v>4364.1675</v>
      </c>
      <c r="M81" s="8">
        <f>'50 изол (каолин)'!M81*0.9</f>
        <v>4577.88375</v>
      </c>
    </row>
    <row r="82" ht="19.5" customHeight="1" spans="1:14">
      <c r="A82" s="89" t="s">
        <v>21</v>
      </c>
      <c r="B82" s="8">
        <f>'50 изол (каолин)'!B82*0.9</f>
        <v>1388.475</v>
      </c>
      <c r="C82" s="8">
        <f>'50 изол (каолин)'!C82*0.9</f>
        <v>1506.90375</v>
      </c>
      <c r="D82" s="88">
        <f>'50 изол (каолин)'!D82*0.9</f>
        <v>1619.8875</v>
      </c>
      <c r="E82" s="8">
        <f>'50 изол (каолин)'!E82*0.9</f>
        <v>1762.81875</v>
      </c>
      <c r="F82" s="8">
        <f>'50 изол (каолин)'!F82*0.9</f>
        <v>1924.8075</v>
      </c>
      <c r="G82" s="88">
        <f>'50 изол (каолин)'!G82*0.9</f>
        <v>2116.74375</v>
      </c>
      <c r="H82" s="8">
        <f>'50 изол (каолин)'!H82*0.9</f>
        <v>2175.2775</v>
      </c>
      <c r="I82" s="8">
        <f>'50 изол (каолин)'!I82*0.9</f>
        <v>2327.7375</v>
      </c>
      <c r="J82" s="88">
        <f>'50 изол (каолин)'!J82*0.9</f>
        <v>2643.5475</v>
      </c>
      <c r="K82" s="8">
        <f>'50 изол (каолин)'!K82*0.9</f>
        <v>3076.425</v>
      </c>
      <c r="L82" s="8">
        <f>'50 изол (каолин)'!L82*0.9</f>
        <v>3336.42375</v>
      </c>
      <c r="M82" s="8">
        <f>'50 изол (каолин)'!M82*0.9</f>
        <v>3491.60625</v>
      </c>
    </row>
    <row r="83" ht="19.5" customHeight="1" spans="1:14">
      <c r="A83" s="89" t="s">
        <v>22</v>
      </c>
      <c r="B83" s="8">
        <f>'50 изол (каолин)'!B83*0.9</f>
        <v>1199.26125</v>
      </c>
      <c r="C83" s="8">
        <f>'50 изол (каолин)'!C83*0.9</f>
        <v>1245.54375</v>
      </c>
      <c r="D83" s="88">
        <f>'50 изол (каолин)'!D83*0.9</f>
        <v>1384.39125</v>
      </c>
      <c r="E83" s="8">
        <f>'50 изол (каолин)'!E83*0.9</f>
        <v>1418.4225</v>
      </c>
      <c r="F83" s="8">
        <f>'50 изол (каолин)'!F83*0.9</f>
        <v>1516.4325</v>
      </c>
      <c r="G83" s="88">
        <f>'50 изол (каолин)'!G83*0.9</f>
        <v>1573.605</v>
      </c>
      <c r="H83" s="8">
        <f>'50 изол (каолин)'!H83*0.9</f>
        <v>1604.91375</v>
      </c>
      <c r="I83" s="8">
        <f>'50 изол (каолин)'!I83*0.9</f>
        <v>1692.03375</v>
      </c>
      <c r="J83" s="88">
        <f>'50 изол (каолин)'!J83*0.9</f>
        <v>1885.33125</v>
      </c>
      <c r="K83" s="8">
        <f>'50 изол (каолин)'!K83*0.9</f>
        <v>2148.0525</v>
      </c>
      <c r="L83" s="8">
        <f>'50 изол (каолин)'!L83*0.9</f>
        <v>2304.59625</v>
      </c>
      <c r="M83" s="8">
        <f>'50 изол (каолин)'!M83*0.9</f>
        <v>2399.88375</v>
      </c>
    </row>
    <row r="84" ht="19.5" customHeight="1" spans="1:14">
      <c r="A84" s="89" t="s">
        <v>23</v>
      </c>
      <c r="B84" s="8">
        <f>'50 изол (каолин)'!B84*0.9</f>
        <v>3250.665</v>
      </c>
      <c r="C84" s="8">
        <f>'50 изол (каолин)'!C84*0.9</f>
        <v>3554.22375</v>
      </c>
      <c r="D84" s="88">
        <f>'50 изол (каолин)'!D84*0.9</f>
        <v>3974.85</v>
      </c>
      <c r="E84" s="8">
        <f>'50 изол (каолин)'!E84*0.9</f>
        <v>4297.46625</v>
      </c>
      <c r="F84" s="8">
        <f>'50 изол (каолин)'!F84*0.9</f>
        <v>4724.89875</v>
      </c>
      <c r="G84" s="88">
        <f>'50 изол (каолин)'!G84*0.9</f>
        <v>5288.45625</v>
      </c>
      <c r="H84" s="8">
        <f>'50 изол (каолин)'!H84*0.9</f>
        <v>5857.45875</v>
      </c>
      <c r="I84" s="8">
        <f>'50 изол (каолин)'!I84*0.9</f>
        <v>6063.0075</v>
      </c>
      <c r="J84" s="88">
        <f>'50 изол (каолин)'!J84*0.9</f>
        <v>6822.585</v>
      </c>
      <c r="K84" s="8">
        <f>'50 изол (каолин)'!K84*0.9</f>
        <v>8829.0675</v>
      </c>
      <c r="L84" s="8">
        <f>'50 изол (каолин)'!L84*0.9</f>
        <v>10033.77375</v>
      </c>
      <c r="M84" s="8">
        <f>'50 изол (каолин)'!M84*0.9</f>
        <v>10836.91125</v>
      </c>
    </row>
    <row r="85" ht="19.5" customHeight="1" spans="1:14">
      <c r="A85" s="89" t="s">
        <v>24</v>
      </c>
      <c r="B85" s="8">
        <f>'50 изол (каолин)'!B85*0.9</f>
        <v>3019.2525</v>
      </c>
      <c r="C85" s="8">
        <f>'50 изол (каолин)'!C85*0.9</f>
        <v>3322.81125</v>
      </c>
      <c r="D85" s="88">
        <f>'50 изол (каолин)'!D85*0.9</f>
        <v>3743.4375</v>
      </c>
      <c r="E85" s="8">
        <f>'50 изол (каолин)'!E85*0.9</f>
        <v>4066.05375</v>
      </c>
      <c r="F85" s="8">
        <f>'50 изол (каолин)'!F85*0.9</f>
        <v>4493.48625</v>
      </c>
      <c r="G85" s="88">
        <f>'50 изол (каолин)'!G85*0.9</f>
        <v>5057.04375</v>
      </c>
      <c r="H85" s="8">
        <f>'50 изол (каолин)'!H85*0.9</f>
        <v>5626.04625</v>
      </c>
      <c r="I85" s="8">
        <f>'50 изол (каолин)'!I85*0.9</f>
        <v>5831.595</v>
      </c>
      <c r="J85" s="88">
        <f>'50 изол (каолин)'!J85*0.9</f>
        <v>6591.1725</v>
      </c>
      <c r="K85" s="8">
        <f>'50 изол (каолин)'!K85*0.9</f>
        <v>8597.655</v>
      </c>
      <c r="L85" s="8">
        <f>'50 изол (каолин)'!L85*0.9</f>
        <v>9802.36125</v>
      </c>
      <c r="M85" s="8">
        <f>'50 изол (каолин)'!M85*0.9</f>
        <v>10605.49875</v>
      </c>
    </row>
    <row r="86" ht="19.5" customHeight="1" spans="1:14">
      <c r="A86" s="89" t="s">
        <v>26</v>
      </c>
      <c r="B86" s="8">
        <f>'50 изол (каолин)'!B86*0.9</f>
        <v>4688.145</v>
      </c>
      <c r="C86" s="8">
        <f>'50 изол (каолин)'!C86*0.9</f>
        <v>5043.43125</v>
      </c>
      <c r="D86" s="88">
        <f>'50 изол (каолин)'!D86*0.9</f>
        <v>5461.335</v>
      </c>
      <c r="E86" s="8">
        <f>'50 изол (каолин)'!E86*0.9</f>
        <v>5909.18625</v>
      </c>
      <c r="F86" s="8">
        <f>'50 изол (каолин)'!F86*0.9</f>
        <v>6200.49375</v>
      </c>
      <c r="G86" s="88">
        <f>'50 изол (каолин)'!G86*0.9</f>
        <v>6683.7375</v>
      </c>
      <c r="H86" s="8">
        <f>'50 изол (каолин)'!H86*0.9</f>
        <v>6969.6</v>
      </c>
      <c r="I86" s="8">
        <f>'50 изол (каолин)'!I86*0.9</f>
        <v>7617.555</v>
      </c>
      <c r="J86" s="88">
        <f>'50 изол (каолин)'!J86*0.9</f>
        <v>8544.56625</v>
      </c>
      <c r="K86" s="8">
        <f>'50 изол (каолин)'!K86*0.9</f>
        <v>9614.50875</v>
      </c>
      <c r="L86" s="8">
        <f>'50 изол (каолин)'!L86*0.9</f>
        <v>10257.01875</v>
      </c>
      <c r="M86" s="8">
        <f>'50 изол (каолин)'!M86*0.9</f>
        <v>10685.8125</v>
      </c>
    </row>
    <row r="87" ht="19.5" customHeight="1" spans="1:14">
      <c r="A87" s="89" t="s">
        <v>27</v>
      </c>
      <c r="B87" s="8">
        <f>'50 изол (каолин)'!B87*0.9</f>
        <v>6239.97</v>
      </c>
      <c r="C87" s="8">
        <f>'50 изол (каолин)'!C87*0.9</f>
        <v>6621.12</v>
      </c>
      <c r="D87" s="88">
        <f>'50 изол (каолин)'!D87*0.9</f>
        <v>6836.1975</v>
      </c>
      <c r="E87" s="8">
        <f>'50 изол (каолин)'!E87*0.9</f>
        <v>7248.65625</v>
      </c>
      <c r="F87" s="8">
        <f>'50 изол (каолин)'!F87*0.9</f>
        <v>7579.44</v>
      </c>
      <c r="G87" s="88">
        <f>'50 изол (каолин)'!G87*0.9</f>
        <v>8381.21625</v>
      </c>
      <c r="H87" s="8">
        <f>'50 изол (каолин)'!H87*0.9</f>
        <v>8899.8525</v>
      </c>
      <c r="I87" s="8">
        <f>'50 изол (каолин)'!I87*0.9</f>
        <v>10055.55375</v>
      </c>
      <c r="J87" s="88">
        <f>'50 изол (каолин)'!J87*0.9</f>
        <v>11964.02625</v>
      </c>
      <c r="K87" s="8">
        <f>'50 изол (каолин)'!K87*0.9</f>
        <v>14515.00875</v>
      </c>
      <c r="L87" s="8">
        <f>'50 изол (каолин)'!L87*0.9</f>
        <v>16046.415</v>
      </c>
      <c r="M87" s="8">
        <f>'50 изол (каолин)'!M87*0.9</f>
        <v>16965.25875</v>
      </c>
    </row>
    <row r="88" ht="19.5" customHeight="1" spans="1:14">
      <c r="A88" s="89" t="s">
        <v>70</v>
      </c>
      <c r="B88" s="8">
        <f>'50 изол (каолин)'!B88*0.9</f>
        <v>11513.4525</v>
      </c>
      <c r="C88" s="8">
        <f>'50 изол (каолин)'!C88*0.9</f>
        <v>11887.79625</v>
      </c>
      <c r="D88" s="88">
        <f>'50 изол (каолин)'!D88*0.9</f>
        <v>12192.71625</v>
      </c>
      <c r="E88" s="8">
        <f>'50 изол (каолин)'!E88*0.9</f>
        <v>12539.835</v>
      </c>
      <c r="F88" s="8">
        <f>'50 изол (каолин)'!F88*0.9</f>
        <v>12933.23625</v>
      </c>
      <c r="G88" s="88">
        <f>'50 изол (каолин)'!G88*0.9</f>
        <v>13823.49375</v>
      </c>
      <c r="H88" s="8">
        <f>'50 изол (каолин)'!H88*0.9</f>
        <v>14302.65375</v>
      </c>
      <c r="I88" s="8">
        <f>'50 изол (каолин)'!I88*0.9</f>
        <v>15339.92625</v>
      </c>
      <c r="J88" s="88">
        <f>'50 изол (каолин)'!J88*0.9</f>
        <v>17116.3575</v>
      </c>
      <c r="K88" s="8">
        <f>'50 изол (каолин)'!K88*0.9</f>
        <v>20121.9975</v>
      </c>
      <c r="L88" s="8">
        <f>'50 изол (каолин)'!L88*0.9</f>
        <v>21927.015</v>
      </c>
      <c r="M88" s="8">
        <f>'50 изол (каолин)'!M88*0.9</f>
        <v>23007.8475</v>
      </c>
    </row>
    <row r="89" ht="19.5" customHeight="1" spans="1:14">
      <c r="A89" s="89" t="s">
        <v>71</v>
      </c>
      <c r="B89" s="8">
        <f>'50 изол (каолин)'!B89*0.9</f>
        <v>1346.27625</v>
      </c>
      <c r="C89" s="8">
        <f>'50 изол (каолин)'!C89*0.9</f>
        <v>1372.14</v>
      </c>
      <c r="D89" s="88">
        <f>'50 изол (каолин)'!D89*0.9</f>
        <v>1400.72625</v>
      </c>
      <c r="E89" s="8">
        <f>'50 изол (каолин)'!E89*0.9</f>
        <v>1543.6575</v>
      </c>
      <c r="F89" s="8">
        <f>'50 изол (каолин)'!F89*0.9</f>
        <v>1685.2275</v>
      </c>
      <c r="G89" s="88">
        <f>'50 изол (каолин)'!G89*0.9</f>
        <v>1762.81875</v>
      </c>
      <c r="H89" s="8">
        <f>'50 изол (каолин)'!H89*0.9</f>
        <v>1909.83375</v>
      </c>
      <c r="I89" s="8">
        <f>'50 изол (каолин)'!I89*0.9</f>
        <v>1971.09</v>
      </c>
      <c r="J89" s="88">
        <f>'50 изол (каолин)'!J89*0.9</f>
        <v>2172.555</v>
      </c>
      <c r="K89" s="8">
        <f>'50 изол (каолин)'!K89*0.9</f>
        <v>2417.58</v>
      </c>
      <c r="L89" s="8">
        <f>'50 изол (каолин)'!L89*0.9</f>
        <v>2564.595</v>
      </c>
      <c r="M89" s="8">
        <f>'50 изол (каолин)'!M89*0.9</f>
        <v>2651.715</v>
      </c>
    </row>
    <row r="90" ht="19.5" customHeight="1" spans="1:14">
      <c r="A90" s="89" t="s">
        <v>81</v>
      </c>
      <c r="B90" s="8">
        <f>'50 изол (каолин)'!B90*0.9</f>
        <v>3812.86125</v>
      </c>
      <c r="C90" s="8">
        <f>'50 изол (каолин)'!C90*0.9</f>
        <v>3938.09625</v>
      </c>
      <c r="D90" s="88">
        <f>'50 изол (каолин)'!D90*0.9</f>
        <v>3974.85</v>
      </c>
      <c r="E90" s="8">
        <f>'50 изол (каолин)'!E90*0.9</f>
        <v>4124.5875</v>
      </c>
      <c r="F90" s="8">
        <f>'50 изол (каолин)'!F90*0.9</f>
        <v>4272.96375</v>
      </c>
      <c r="G90" s="88">
        <f>'50 изол (каолин)'!G90*0.9</f>
        <v>4690.8675</v>
      </c>
      <c r="H90" s="8">
        <f>'50 изол (каолин)'!H90*0.9</f>
        <v>5067.93375</v>
      </c>
      <c r="I90" s="8">
        <f>'50 изол (каолин)'!I90*0.9</f>
        <v>5454.52875</v>
      </c>
      <c r="J90" s="88">
        <f>'50 изол (каолин)'!J90*0.9</f>
        <v>6016.725</v>
      </c>
      <c r="K90" s="8">
        <f>'50 изол (каолин)'!K90*0.9</f>
        <v>7556.29875</v>
      </c>
      <c r="L90" s="8">
        <f>'50 изол (каолин)'!L90*0.9</f>
        <v>8479.22625</v>
      </c>
      <c r="M90" s="8">
        <f>'50 изол (каолин)'!M90*0.9</f>
        <v>9033.255</v>
      </c>
    </row>
    <row r="91" ht="19.5" customHeight="1" spans="1:14">
      <c r="A91" s="89" t="s">
        <v>82</v>
      </c>
      <c r="B91" s="8">
        <f>'50 изол (каолин)'!B91*0.9</f>
        <v>4645.94625</v>
      </c>
      <c r="C91" s="8">
        <f>'50 изол (каолин)'!C91*0.9</f>
        <v>4825.63125</v>
      </c>
      <c r="D91" s="88">
        <f>'50 изол (каолин)'!D91*0.9</f>
        <v>4861.02375</v>
      </c>
      <c r="E91" s="8">
        <f>'50 изол (каолин)'!E91*0.9</f>
        <v>3710.7675</v>
      </c>
      <c r="F91" s="8">
        <f>'50 изол (каолин)'!F91*0.9</f>
        <v>5281.65</v>
      </c>
      <c r="G91" s="88">
        <f>'50 изол (каолин)'!G91*0.9</f>
        <v>5691.38625</v>
      </c>
      <c r="H91" s="8">
        <f>'50 изол (каолин)'!H91*0.9</f>
        <v>5913.27</v>
      </c>
      <c r="I91" s="8">
        <f>'50 изол (каолин)'!I91*0.9</f>
        <v>6370.65</v>
      </c>
      <c r="J91" s="88">
        <f>'50 изол (каолин)'!J91*0.9</f>
        <v>7122.06</v>
      </c>
      <c r="K91" s="8">
        <f>'50 изол (каолин)'!K91*0.9</f>
        <v>8731.0575</v>
      </c>
      <c r="L91" s="8">
        <f>'50 изол (каолин)'!L91*0.9</f>
        <v>9697.545</v>
      </c>
      <c r="M91" s="8">
        <f>'50 изол (каолин)'!M91*0.9</f>
        <v>10276.07625</v>
      </c>
    </row>
    <row r="92" ht="19.5" customHeight="1" spans="1:14">
      <c r="A92" s="89" t="s">
        <v>39</v>
      </c>
      <c r="B92" s="8">
        <f>'50 изол (каолин)'!B92*0.9</f>
        <v>3159.46125</v>
      </c>
      <c r="C92" s="8">
        <f>'50 изол (каолин)'!C92*0.9</f>
        <v>3200.29875</v>
      </c>
      <c r="D92" s="88">
        <f>'50 изол (каолин)'!D92*0.9</f>
        <v>3291.5025</v>
      </c>
      <c r="E92" s="8">
        <f>'50 изол (каолин)'!E92*0.9</f>
        <v>3605.95125</v>
      </c>
      <c r="F92" s="8">
        <f>'50 изол (каолин)'!F92*0.9</f>
        <v>3810.13875</v>
      </c>
      <c r="G92" s="88">
        <f>'50 изол (каолин)'!G92*0.9</f>
        <v>4131.39375</v>
      </c>
      <c r="H92" s="8">
        <f>'50 изол (каолин)'!H92*0.9</f>
        <v>4189.9275</v>
      </c>
      <c r="I92" s="8">
        <f>'50 изол (каолин)'!I92*0.9</f>
        <v>4350.555</v>
      </c>
      <c r="J92" s="88">
        <f>'50 изол (каолин)'!J92*0.9</f>
        <v>4701.7575</v>
      </c>
      <c r="K92" s="8">
        <f>'50 изол (каолин)'!K92*0.9</f>
        <v>5496.7275</v>
      </c>
      <c r="L92" s="8">
        <f>'50 изол (каолин)'!L92*0.9</f>
        <v>5974.52625</v>
      </c>
      <c r="M92" s="8">
        <f>'50 изол (каолин)'!M92*0.9</f>
        <v>6260.38875</v>
      </c>
    </row>
    <row r="93" ht="19.5" customHeight="1" spans="1:14">
      <c r="A93" s="35"/>
      <c r="B93" s="35"/>
      <c r="C93" s="35"/>
      <c r="D93" s="49"/>
      <c r="E93" s="35"/>
      <c r="F93" s="35"/>
      <c r="G93" s="49"/>
      <c r="H93" s="35"/>
      <c r="I93" s="35"/>
      <c r="J93" s="49"/>
      <c r="K93" s="35"/>
      <c r="L93" s="35"/>
      <c r="M93" s="35"/>
    </row>
    <row r="94" ht="19.5" customHeight="1" spans="1:14">
      <c r="A94" s="82" t="s">
        <v>35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5"/>
    </row>
    <row r="95" ht="19.5" customHeight="1" spans="1:14">
      <c r="A95" s="35"/>
      <c r="B95" s="35"/>
      <c r="C95" s="35"/>
      <c r="D95" s="49"/>
      <c r="E95" s="35"/>
      <c r="F95" s="35"/>
      <c r="G95" s="49"/>
      <c r="H95" s="35"/>
      <c r="I95" s="35"/>
      <c r="J95" s="49"/>
      <c r="K95" s="83" t="s">
        <v>127</v>
      </c>
    </row>
    <row r="96" ht="19.5" customHeight="1" spans="1:14">
      <c r="A96" s="35"/>
      <c r="B96" s="35"/>
      <c r="C96" s="35"/>
      <c r="D96" s="49"/>
      <c r="E96" s="35"/>
      <c r="F96" s="35"/>
      <c r="G96" s="49"/>
      <c r="H96" s="35"/>
      <c r="I96" s="35"/>
      <c r="J96" s="49"/>
    </row>
    <row r="97" ht="19.5" customHeight="1" spans="1:13">
      <c r="A97" s="92" t="s">
        <v>117</v>
      </c>
    </row>
    <row r="98" ht="19.5" customHeight="1" spans="1:13">
      <c r="A98" s="92" t="s">
        <v>118</v>
      </c>
      <c r="K98" s="35"/>
      <c r="L98" s="35"/>
      <c r="M98" s="35"/>
    </row>
    <row r="99" ht="19.5" customHeight="1" spans="1:13">
      <c r="A99" s="85" t="s">
        <v>128</v>
      </c>
    </row>
    <row r="100" ht="27" customHeight="1" spans="1:13">
      <c r="A100" s="17"/>
      <c r="B100" s="86" t="s">
        <v>129</v>
      </c>
      <c r="C100" s="86" t="s">
        <v>130</v>
      </c>
      <c r="D100" s="86" t="s">
        <v>131</v>
      </c>
      <c r="E100" s="86" t="s">
        <v>132</v>
      </c>
      <c r="F100" s="86" t="s">
        <v>133</v>
      </c>
      <c r="G100" s="86" t="s">
        <v>134</v>
      </c>
      <c r="H100" s="86" t="s">
        <v>135</v>
      </c>
      <c r="I100" s="86" t="s">
        <v>136</v>
      </c>
      <c r="J100" s="86" t="s">
        <v>137</v>
      </c>
      <c r="K100" s="86" t="s">
        <v>138</v>
      </c>
      <c r="L100" s="86" t="s">
        <v>139</v>
      </c>
      <c r="M100" s="86" t="s">
        <v>140</v>
      </c>
    </row>
    <row r="101" ht="19.5" customHeight="1" spans="1:13">
      <c r="A101" s="89" t="s">
        <v>68</v>
      </c>
      <c r="B101" s="8">
        <f>'50 изол (каолин)'!B101*0.9</f>
        <v>3334.381875</v>
      </c>
      <c r="C101" s="8">
        <f>'50 изол (каолин)'!C101*0.9</f>
        <v>3389.88375</v>
      </c>
      <c r="D101" s="88">
        <f>'50 изол (каолин)'!D101*0.9</f>
        <v>3633.238125</v>
      </c>
      <c r="E101" s="8">
        <f>'50 изол (каолин)'!E101*0.9</f>
        <v>3926.401875</v>
      </c>
      <c r="F101" s="8">
        <f>'50 изол (каолин)'!F101*0.9</f>
        <v>4233.796875</v>
      </c>
      <c r="G101" s="88">
        <f>'50 изол (каолин)'!G101*0.9</f>
        <v>4415.956875</v>
      </c>
      <c r="H101" s="8">
        <f>'50 изол (каолин)'!H101*0.9</f>
        <v>4630.84875</v>
      </c>
      <c r="I101" s="8">
        <f>'50 изол (каолин)'!I101*0.9</f>
        <v>5080.55625</v>
      </c>
      <c r="J101" s="88">
        <f>'50 изол (каолин)'!J101*0.9</f>
        <v>5564.41875</v>
      </c>
      <c r="K101" s="8">
        <f>'50 изол (каолин)'!K101*0.9</f>
        <v>6774.075</v>
      </c>
      <c r="L101" s="8">
        <f>'50 изол (каолин)'!L101*0.9</f>
        <v>7499.86875</v>
      </c>
      <c r="M101" s="8">
        <f>'50 изол (каолин)'!M101*0.9</f>
        <v>7983.73125</v>
      </c>
    </row>
    <row r="102" ht="19.5" customHeight="1" spans="1:13">
      <c r="A102" s="89" t="s">
        <v>18</v>
      </c>
      <c r="B102" s="8">
        <f>'50 изол (каолин)'!B102*0.9</f>
        <v>2732.4</v>
      </c>
      <c r="C102" s="8">
        <f>'50 изол (каолин)'!C102*0.9</f>
        <v>2940.17625</v>
      </c>
      <c r="D102" s="88">
        <f>'50 изол (каолин)'!D102*0.9</f>
        <v>3192.069375</v>
      </c>
      <c r="E102" s="8">
        <f>'50 изол (каолин)'!E102*0.9</f>
        <v>3415.5</v>
      </c>
      <c r="F102" s="8">
        <f>'50 изол (каолин)'!F102*0.9</f>
        <v>3617.58375</v>
      </c>
      <c r="G102" s="88">
        <f>'50 изол (каолин)'!G102*0.9</f>
        <v>3791.205</v>
      </c>
      <c r="H102" s="8">
        <f>'50 изол (каолин)'!H102*0.9</f>
        <v>4007.52</v>
      </c>
      <c r="I102" s="8">
        <f>'50 изол (каолин)'!I102*0.9</f>
        <v>4578.193125</v>
      </c>
      <c r="J102" s="88">
        <f>'50 изол (каолин)'!J102*0.9</f>
        <v>4713.39</v>
      </c>
      <c r="K102" s="8">
        <f>'50 изол (каолин)'!K102*0.9</f>
        <v>5806.35</v>
      </c>
      <c r="L102" s="8">
        <f>'50 изол (каолин)'!L102*0.9</f>
        <v>6314.405625</v>
      </c>
      <c r="M102" s="8">
        <f>'50 изол (каолин)'!M102*0.9</f>
        <v>6681.571875</v>
      </c>
    </row>
    <row r="103" ht="19.5" customHeight="1" spans="1:13">
      <c r="A103" s="89" t="s">
        <v>19</v>
      </c>
      <c r="B103" s="8">
        <f>'50 изол (каолин)'!B103*0.9</f>
        <v>2128.995</v>
      </c>
      <c r="C103" s="8">
        <f>'50 изол (каолин)'!C103*0.9</f>
        <v>2308.30875</v>
      </c>
      <c r="D103" s="88">
        <f>'50 изол (каолин)'!D103*0.9</f>
        <v>2516.085</v>
      </c>
      <c r="E103" s="8">
        <f>'50 изол (каолин)'!E103*0.9</f>
        <v>2705.360625</v>
      </c>
      <c r="F103" s="8">
        <f>'50 изол (каолин)'!F103*0.9</f>
        <v>2961.523125</v>
      </c>
      <c r="G103" s="88">
        <f>'50 изол (каолин)'!G103*0.9</f>
        <v>3145.10625</v>
      </c>
      <c r="H103" s="8">
        <f>'50 изол (каолин)'!H103*0.9</f>
        <v>3270.34125</v>
      </c>
      <c r="I103" s="8">
        <f>'50 изол (каолин)'!I103*0.9</f>
        <v>3552.12</v>
      </c>
      <c r="J103" s="88">
        <f>'50 изол (каолин)'!J103*0.9</f>
        <v>3870.9</v>
      </c>
      <c r="K103" s="8">
        <f>'50 изол (каолин)'!K103*0.9</f>
        <v>4717.659375</v>
      </c>
      <c r="L103" s="8">
        <f>'50 изол (каолин)'!L103*0.9</f>
        <v>5225.715</v>
      </c>
      <c r="M103" s="8">
        <f>'50 изол (каолин)'!M103*0.9</f>
        <v>5564.41875</v>
      </c>
    </row>
    <row r="104" ht="19.5" customHeight="1" spans="1:13">
      <c r="A104" s="89" t="s">
        <v>20</v>
      </c>
      <c r="B104" s="8">
        <f>'50 изол (каолин)'!B104*0.9</f>
        <v>1767.52125</v>
      </c>
      <c r="C104" s="8">
        <f>'50 изол (каолин)'!C104*0.9</f>
        <v>1928.334375</v>
      </c>
      <c r="D104" s="88">
        <f>'50 изол (каолин)'!D104*0.9</f>
        <v>2109.07125</v>
      </c>
      <c r="E104" s="8">
        <f>'50 изол (каолин)'!E104*0.9</f>
        <v>2278.423125</v>
      </c>
      <c r="F104" s="8">
        <f>'50 изол (каолин)'!F104*0.9</f>
        <v>2456.31375</v>
      </c>
      <c r="G104" s="88">
        <f>'50 изол (каолин)'!G104*0.9</f>
        <v>2540.278125</v>
      </c>
      <c r="H104" s="8">
        <f>'50 изол (каолин)'!H104*0.9</f>
        <v>2671.205625</v>
      </c>
      <c r="I104" s="8">
        <f>'50 изол (каолин)'!I104*0.9</f>
        <v>2860.48125</v>
      </c>
      <c r="J104" s="88">
        <f>'50 изол (каолин)'!J104*0.9</f>
        <v>3145.10625</v>
      </c>
      <c r="K104" s="8">
        <f>'50 изол (каолин)'!K104*0.9</f>
        <v>3788.35875</v>
      </c>
      <c r="L104" s="8">
        <f>'50 изол (каолин)'!L104*0.9</f>
        <v>4174.025625</v>
      </c>
      <c r="M104" s="8">
        <f>'50 изол (каолин)'!M104*0.9</f>
        <v>4431.61125</v>
      </c>
    </row>
    <row r="105" ht="19.5" customHeight="1" spans="1:13">
      <c r="A105" s="89" t="s">
        <v>21</v>
      </c>
      <c r="B105" s="8">
        <f>'50 изол (каолин)'!B105*0.9</f>
        <v>1676.44125</v>
      </c>
      <c r="C105" s="8">
        <f>'50 изол (каолин)'!C105*0.9</f>
        <v>1697.788125</v>
      </c>
      <c r="D105" s="88">
        <f>'50 изол (каолин)'!D105*0.9</f>
        <v>1770.3675</v>
      </c>
      <c r="E105" s="8">
        <f>'50 изол (каолин)'!E105*0.9</f>
        <v>1821.6</v>
      </c>
      <c r="F105" s="8">
        <f>'50 изол (каолин)'!F105*0.9</f>
        <v>1956.796875</v>
      </c>
      <c r="G105" s="88">
        <f>'50 изол (каолин)'!G105*0.9</f>
        <v>2052.14625</v>
      </c>
      <c r="H105" s="8">
        <f>'50 изол (каолин)'!H105*0.9</f>
        <v>2093.416875</v>
      </c>
      <c r="I105" s="8">
        <f>'50 изол (каолин)'!I105*0.9</f>
        <v>2230.036875</v>
      </c>
      <c r="J105" s="88">
        <f>'50 изол (каолин)'!J105*0.9</f>
        <v>2524.62375</v>
      </c>
      <c r="K105" s="8">
        <f>'50 изол (каолин)'!K105*0.9</f>
        <v>2906.02125</v>
      </c>
      <c r="L105" s="8">
        <f>'50 изол (каолин)'!L105*0.9</f>
        <v>3133.72125</v>
      </c>
      <c r="M105" s="8">
        <f>'50 изол (каолин)'!M105*0.9</f>
        <v>3285.995625</v>
      </c>
    </row>
    <row r="106" ht="19.5" customHeight="1" spans="1:13">
      <c r="A106" s="89" t="s">
        <v>22</v>
      </c>
      <c r="B106" s="8">
        <f>'50 изол (каолин)'!B106*0.9</f>
        <v>1277.96625</v>
      </c>
      <c r="C106" s="8">
        <f>'50 изол (каолин)'!C106*0.9</f>
        <v>1290.774375</v>
      </c>
      <c r="D106" s="88">
        <f>'50 изол (каолин)'!D106*0.9</f>
        <v>1333.468125</v>
      </c>
      <c r="E106" s="8">
        <f>'50 изол (каолин)'!E106*0.9</f>
        <v>1364.776875</v>
      </c>
      <c r="F106" s="8">
        <f>'50 изол (каолин)'!F106*0.9</f>
        <v>1443.04875</v>
      </c>
      <c r="G106" s="88">
        <f>'50 изол (каолин)'!G106*0.9</f>
        <v>1509.935625</v>
      </c>
      <c r="H106" s="8">
        <f>'50 изол (каолин)'!H106*0.9</f>
        <v>1534.12875</v>
      </c>
      <c r="I106" s="8">
        <f>'50 изол (каолин)'!I106*0.9</f>
        <v>1720.558125</v>
      </c>
      <c r="J106" s="88">
        <f>'50 изол (каолин)'!J106*0.9</f>
        <v>1906.9875</v>
      </c>
      <c r="K106" s="8">
        <f>'50 изол (каолин)'!K106*0.9</f>
        <v>2141.803125</v>
      </c>
      <c r="L106" s="8">
        <f>'50 изол (каолин)'!L106*0.9</f>
        <v>2281.269375</v>
      </c>
      <c r="M106" s="8">
        <f>'50 изол (каолин)'!M106*0.9</f>
        <v>2375.195625</v>
      </c>
    </row>
    <row r="107" ht="19.5" customHeight="1" spans="1:13">
      <c r="A107" s="89" t="s">
        <v>23</v>
      </c>
      <c r="B107" s="8">
        <f>'50 изол (каолин)'!B107*0.9</f>
        <v>3771.28125</v>
      </c>
      <c r="C107" s="8">
        <f>'50 изол (каолин)'!C107*0.9</f>
        <v>4078.67625</v>
      </c>
      <c r="D107" s="88">
        <f>'50 изол (каолин)'!D107*0.9</f>
        <v>4266.52875</v>
      </c>
      <c r="E107" s="8">
        <f>'50 изол (каолин)'!E107*0.9</f>
        <v>4707.6975</v>
      </c>
      <c r="F107" s="8">
        <f>'50 изол (каолин)'!F107*0.9</f>
        <v>5015.0925</v>
      </c>
      <c r="G107" s="88">
        <f>'50 изол (каолин)'!G107*0.9</f>
        <v>5332.449375</v>
      </c>
      <c r="H107" s="8">
        <f>'50 изол (каолин)'!H107*0.9</f>
        <v>5634.151875</v>
      </c>
      <c r="I107" s="8">
        <f>'50 изол (каолин)'!I107*0.9</f>
        <v>6318.675</v>
      </c>
      <c r="J107" s="88">
        <f>'50 изол (каолин)'!J107*0.9</f>
        <v>7018.8525</v>
      </c>
      <c r="K107" s="8">
        <f>'50 изол (каолин)'!K107*0.9</f>
        <v>8802.028125</v>
      </c>
      <c r="L107" s="8">
        <f>'50 изол (каолин)'!L107*0.9</f>
        <v>9701.443125</v>
      </c>
      <c r="M107" s="8">
        <f>'50 изол (каолин)'!M107*0.9</f>
        <v>10163.95875</v>
      </c>
    </row>
    <row r="108" ht="19.5" customHeight="1" spans="1:13">
      <c r="A108" s="89" t="s">
        <v>24</v>
      </c>
      <c r="B108" s="8">
        <f>'50 изол (каолин)'!B108*0.9</f>
        <v>3529.35</v>
      </c>
      <c r="C108" s="8">
        <f>'50 изол (каолин)'!C108*0.9</f>
        <v>3836.745</v>
      </c>
      <c r="D108" s="88">
        <f>'50 изол (каолин)'!D108*0.9</f>
        <v>4024.5975</v>
      </c>
      <c r="E108" s="8">
        <f>'50 изол (каолин)'!E108*0.9</f>
        <v>4465.76625</v>
      </c>
      <c r="F108" s="8">
        <f>'50 изол (каолин)'!F108*0.9</f>
        <v>4773.16125</v>
      </c>
      <c r="G108" s="88">
        <f>'50 изол (каолин)'!G108*0.9</f>
        <v>5090.518125</v>
      </c>
      <c r="H108" s="8">
        <f>'50 изол (каолин)'!H108*0.9</f>
        <v>5392.220625</v>
      </c>
      <c r="I108" s="8">
        <f>'50 изол (каолин)'!I108*0.9</f>
        <v>6076.74375</v>
      </c>
      <c r="J108" s="88">
        <f>'50 изол (каолин)'!J108*0.9</f>
        <v>6776.92125</v>
      </c>
      <c r="K108" s="8">
        <f>'50 изол (каолин)'!K108*0.9</f>
        <v>8560.096875</v>
      </c>
      <c r="L108" s="8">
        <f>'50 изол (каолин)'!L108*0.9</f>
        <v>9459.511875</v>
      </c>
      <c r="M108" s="8">
        <f>'50 изол (каолин)'!M108*0.9</f>
        <v>9922.0275</v>
      </c>
    </row>
    <row r="109" ht="19.5" customHeight="1" spans="1:13">
      <c r="A109" s="89" t="s">
        <v>26</v>
      </c>
      <c r="B109" s="8">
        <f>'50 изол (каолин)'!B109*0.9</f>
        <v>4524.114375</v>
      </c>
      <c r="C109" s="8">
        <f>'50 изол (каолин)'!C109*0.9</f>
        <v>4828.663125</v>
      </c>
      <c r="D109" s="88">
        <f>'50 изол (каолин)'!D109*0.9</f>
        <v>5221.445625</v>
      </c>
      <c r="E109" s="8">
        <f>'50 изол (каолин)'!E109*0.9</f>
        <v>5876.083125</v>
      </c>
      <c r="F109" s="8">
        <f>'50 изол (каолин)'!F109*0.9</f>
        <v>5948.6625</v>
      </c>
      <c r="G109" s="88">
        <f>'50 изол (каолин)'!G109*0.9</f>
        <v>6351.406875</v>
      </c>
      <c r="H109" s="8">
        <f>'50 изол (каолин)'!H109*0.9</f>
        <v>6707.188125</v>
      </c>
      <c r="I109" s="8">
        <f>'50 изол (каолин)'!I109*0.9</f>
        <v>7460.02125</v>
      </c>
      <c r="J109" s="88">
        <f>'50 изол (каолин)'!J109*0.9</f>
        <v>8101.850625</v>
      </c>
      <c r="K109" s="8">
        <f>'50 изол (каолин)'!K109*0.9</f>
        <v>9950.49</v>
      </c>
      <c r="L109" s="8">
        <f>'50 изол (каолин)'!L109*0.9</f>
        <v>11060.5275</v>
      </c>
      <c r="M109" s="8">
        <f>'50 изол (каолин)'!M109*0.9</f>
        <v>11799.129375</v>
      </c>
    </row>
    <row r="110" ht="19.5" customHeight="1" spans="1:13">
      <c r="A110" s="89" t="s">
        <v>27</v>
      </c>
      <c r="B110" s="8">
        <f>'50 изол (каолин)'!B110*0.9</f>
        <v>6116.59125</v>
      </c>
      <c r="C110" s="8">
        <f>'50 изол (каолин)'!C110*0.9</f>
        <v>6428.255625</v>
      </c>
      <c r="D110" s="88">
        <f>'50 изол (каолин)'!D110*0.9</f>
        <v>6717.15</v>
      </c>
      <c r="E110" s="8">
        <f>'50 изол (каолин)'!E110*0.9</f>
        <v>7196.743125</v>
      </c>
      <c r="F110" s="8">
        <f>'50 изол (каолин)'!F110*0.9</f>
        <v>7572.448125</v>
      </c>
      <c r="G110" s="88">
        <f>'50 изол (каолин)'!G110*0.9</f>
        <v>8399.28375</v>
      </c>
      <c r="H110" s="8">
        <f>'50 изол (каолин)'!H110*0.9</f>
        <v>9310.08375</v>
      </c>
      <c r="I110" s="8">
        <f>'50 изол (каолин)'!I110*0.9</f>
        <v>10256.461875</v>
      </c>
      <c r="J110" s="88">
        <f>'50 изол (каолин)'!J110*0.9</f>
        <v>11762.128125</v>
      </c>
      <c r="K110" s="8">
        <f>'50 изол (каолин)'!K110*0.9</f>
        <v>13891.123125</v>
      </c>
      <c r="L110" s="8">
        <f>'50 изол (каолин)'!L110*0.9</f>
        <v>15167.66625</v>
      </c>
      <c r="M110" s="8">
        <f>'50 изол (каолин)'!M110*0.9</f>
        <v>15934.730625</v>
      </c>
    </row>
    <row r="111" ht="19.5" customHeight="1" spans="1:13">
      <c r="A111" s="89" t="s">
        <v>70</v>
      </c>
      <c r="B111" s="8">
        <f>'50 изол (каолин)'!B111*0.9</f>
        <v>11064.796875</v>
      </c>
      <c r="C111" s="8">
        <f>'50 изол (каолин)'!C111*0.9</f>
        <v>11436.2325</v>
      </c>
      <c r="D111" s="88">
        <f>'50 изол (каолин)'!D111*0.9</f>
        <v>11755.0125</v>
      </c>
      <c r="E111" s="8">
        <f>'50 изол (каолин)'!E111*0.9</f>
        <v>12109.370625</v>
      </c>
      <c r="F111" s="8">
        <f>'50 изол (каолин)'!F111*0.9</f>
        <v>12503.57625</v>
      </c>
      <c r="G111" s="88">
        <f>'50 изол (каолин)'!G111*0.9</f>
        <v>13374.52875</v>
      </c>
      <c r="H111" s="8">
        <f>'50 изол (каолин)'!H111*0.9</f>
        <v>13842.736875</v>
      </c>
      <c r="I111" s="8">
        <f>'50 изол (каолин)'!I111*0.9</f>
        <v>14854.57875</v>
      </c>
      <c r="J111" s="88">
        <f>'50 изол (каолин)'!J111*0.9</f>
        <v>16696.1025</v>
      </c>
      <c r="K111" s="8">
        <f>'50 изол (каолин)'!K111*0.9</f>
        <v>19861.1325</v>
      </c>
      <c r="L111" s="8">
        <f>'50 изол (каолин)'!L111*0.9</f>
        <v>21761.004375</v>
      </c>
      <c r="M111" s="8">
        <f>'50 изол (каолин)'!M111*0.9</f>
        <v>23081.664375</v>
      </c>
    </row>
    <row r="112" ht="19.5" customHeight="1" spans="1:13">
      <c r="A112" s="89" t="s">
        <v>71</v>
      </c>
      <c r="B112" s="8">
        <f>'50 изол (каолин)'!B112*0.9</f>
        <v>1326.3525</v>
      </c>
      <c r="C112" s="8">
        <f>'50 изол (каолин)'!C112*0.9</f>
        <v>1354.815</v>
      </c>
      <c r="D112" s="88">
        <f>'50 изол (каолин)'!D112*0.9</f>
        <v>1451.5875</v>
      </c>
      <c r="E112" s="8">
        <f>'50 изол (каолин)'!E112*0.9</f>
        <v>1609.554375</v>
      </c>
      <c r="F112" s="8">
        <f>'50 изол (каолин)'!F112*0.9</f>
        <v>1729.096875</v>
      </c>
      <c r="G112" s="88">
        <f>'50 изол (каолин)'!G112*0.9</f>
        <v>1834.408125</v>
      </c>
      <c r="H112" s="8">
        <f>'50 изол (каолин)'!H112*0.9</f>
        <v>1990.951875</v>
      </c>
      <c r="I112" s="8">
        <f>'50 изол (каолин)'!I112*0.9</f>
        <v>2056.415625</v>
      </c>
      <c r="J112" s="88">
        <f>'50 изол (каолин)'!J112*0.9</f>
        <v>2298.346875</v>
      </c>
      <c r="K112" s="8">
        <f>'50 изол (каолин)'!K112*0.9</f>
        <v>2629.935</v>
      </c>
      <c r="L112" s="8">
        <f>'50 изол (каолин)'!L112*0.9</f>
        <v>2827.749375</v>
      </c>
      <c r="M112" s="8">
        <f>'50 изол (каолин)'!M112*0.9</f>
        <v>2947.291875</v>
      </c>
    </row>
    <row r="113" ht="19.5" customHeight="1" spans="1:14">
      <c r="A113" s="89" t="s">
        <v>72</v>
      </c>
      <c r="B113" s="8">
        <f>'50 изол (каолин)'!B113*0.9</f>
        <v>3715.779375</v>
      </c>
      <c r="C113" s="8">
        <f>'50 изол (каолин)'!C113*0.9</f>
        <v>3831.0525</v>
      </c>
      <c r="D113" s="88">
        <f>'50 изол (каолин)'!D113*0.9</f>
        <v>3883.708125</v>
      </c>
      <c r="E113" s="8">
        <f>'50 изол (каолин)'!E113*0.9</f>
        <v>4034.559375</v>
      </c>
      <c r="F113" s="8">
        <f>'50 изол (каолин)'!F113*0.9</f>
        <v>4168.333125</v>
      </c>
      <c r="G113" s="88">
        <f>'50 изол (каолин)'!G113*0.9</f>
        <v>4488.53625</v>
      </c>
      <c r="H113" s="8">
        <f>'50 изол (каолин)'!H113*0.9</f>
        <v>4637.964375</v>
      </c>
      <c r="I113" s="8">
        <f>'50 изол (каолин)'!I113*0.9</f>
        <v>4963.86</v>
      </c>
      <c r="J113" s="88">
        <f>'50 изол (каолин)'!J113*0.9</f>
        <v>5568.688125</v>
      </c>
      <c r="K113" s="8">
        <f>'50 изол (каолин)'!K113*0.9</f>
        <v>6718.573125</v>
      </c>
      <c r="L113" s="8">
        <f>'50 изол (каолин)'!L113*0.9</f>
        <v>7407.365625</v>
      </c>
      <c r="M113" s="8">
        <f>'50 изол (каолин)'!M113*0.9</f>
        <v>7821.495</v>
      </c>
    </row>
    <row r="114" ht="19.5" customHeight="1" spans="1:14">
      <c r="A114" s="89" t="s">
        <v>73</v>
      </c>
      <c r="B114" s="8">
        <f>'50 изол (каолин)'!B114*0.9</f>
        <v>1505.66625</v>
      </c>
      <c r="C114" s="8">
        <f>'50 изол (каолин)'!C114*0.9</f>
        <v>1568.28375</v>
      </c>
      <c r="D114" s="88">
        <f>'50 изол (каолин)'!D114*0.9</f>
        <v>1680.710625</v>
      </c>
      <c r="E114" s="8">
        <f>'50 изол (каолин)'!E114*0.9</f>
        <v>1771.790625</v>
      </c>
      <c r="F114" s="8">
        <f>'50 изол (каолин)'!F114*0.9</f>
        <v>1838.6775</v>
      </c>
      <c r="G114" s="88">
        <f>'50 изол (каолин)'!G114*0.9</f>
        <v>2060.685</v>
      </c>
      <c r="H114" s="8">
        <f>'50 изол (каолин)'!H114*0.9</f>
        <v>2205.84375</v>
      </c>
      <c r="I114" s="8">
        <f>'50 изол (каолин)'!I114*0.9</f>
        <v>2568.740625</v>
      </c>
      <c r="J114" s="88">
        <f>'50 изол (каолин)'!J114*0.9</f>
        <v>2786.47875</v>
      </c>
      <c r="K114" s="8">
        <f>'50 изол (каолин)'!K114*0.9</f>
        <v>3418.34625</v>
      </c>
      <c r="L114" s="8">
        <f>'50 изол (каолин)'!L114*0.9</f>
        <v>3796.8975</v>
      </c>
      <c r="M114" s="8">
        <f>'50 изол (каолин)'!M114*0.9</f>
        <v>4024.5975</v>
      </c>
    </row>
    <row r="115" ht="19.5" customHeight="1" spans="1:14">
      <c r="A115" s="89" t="s">
        <v>74</v>
      </c>
      <c r="B115" s="8">
        <f>'50 изол (каолин)'!B115*0.9</f>
        <v>1901.295</v>
      </c>
      <c r="C115" s="8">
        <f>'50 изол (каолин)'!C115*0.9</f>
        <v>1996.644375</v>
      </c>
      <c r="D115" s="88">
        <f>'50 изол (каолин)'!D115*0.9</f>
        <v>2128.995</v>
      </c>
      <c r="E115" s="8">
        <f>'50 изол (каолин)'!E115*0.9</f>
        <v>2205.84375</v>
      </c>
      <c r="F115" s="8">
        <f>'50 изол (каолин)'!F115*0.9</f>
        <v>2323.963125</v>
      </c>
      <c r="G115" s="88">
        <f>'50 изол (каолин)'!G115*0.9</f>
        <v>2705.360625</v>
      </c>
      <c r="H115" s="8">
        <f>'50 изол (каолин)'!H115*0.9</f>
        <v>2887.520625</v>
      </c>
      <c r="I115" s="8">
        <f>'50 изол (каолин)'!I115*0.9</f>
        <v>3204.8775</v>
      </c>
      <c r="J115" s="88">
        <f>'50 изол (каолин)'!J115*0.9</f>
        <v>3573.466875</v>
      </c>
      <c r="K115" s="8">
        <f>'50 изол (каолин)'!K115*0.9</f>
        <v>4289.29875</v>
      </c>
      <c r="L115" s="8">
        <f>'50 изол (каолин)'!L115*0.9</f>
        <v>4719.0825</v>
      </c>
      <c r="M115" s="8">
        <f>'50 изол (каолин)'!M115*0.9</f>
        <v>4976.668125</v>
      </c>
    </row>
    <row r="116" ht="19.5" customHeight="1" spans="1:14">
      <c r="A116" s="89" t="s">
        <v>77</v>
      </c>
      <c r="B116" s="8">
        <f>'50 изол (каолин)'!B116*0.9</f>
        <v>2510.3925</v>
      </c>
      <c r="C116" s="8">
        <f>'50 изол (каолин)'!C116*0.9</f>
        <v>2577.279375</v>
      </c>
      <c r="D116" s="88">
        <f>'50 изол (каолин)'!D116*0.9</f>
        <v>2786.47875</v>
      </c>
      <c r="E116" s="8">
        <f>'50 изол (каолин)'!E116*0.9</f>
        <v>3024.140625</v>
      </c>
      <c r="F116" s="8">
        <f>'50 изол (каолин)'!F116*0.9</f>
        <v>3206.300625</v>
      </c>
      <c r="G116" s="88">
        <f>'50 изол (каолин)'!G116*0.9</f>
        <v>3627.545625</v>
      </c>
      <c r="H116" s="8">
        <f>'50 изол (каолин)'!H116*0.9</f>
        <v>3963.403125</v>
      </c>
      <c r="I116" s="8">
        <f>'50 изол (каолин)'!I116*0.9</f>
        <v>4300.68375</v>
      </c>
      <c r="J116" s="88">
        <f>'50 изол (каолин)'!J116*0.9</f>
        <v>4703.428125</v>
      </c>
      <c r="K116" s="8">
        <f>'50 изол (каолин)'!K116*0.9</f>
        <v>5709.5775</v>
      </c>
      <c r="L116" s="8">
        <f>'50 изол (каолин)'!L116*0.9</f>
        <v>6312.9825</v>
      </c>
      <c r="M116" s="8">
        <f>'50 изол (каолин)'!M116*0.9</f>
        <v>6715.726875</v>
      </c>
    </row>
    <row r="117" ht="19.5" customHeight="1" spans="1:14">
      <c r="A117" s="35"/>
      <c r="B117" s="35"/>
      <c r="C117" s="35"/>
      <c r="D117" s="49"/>
      <c r="E117" s="35"/>
      <c r="F117" s="35"/>
      <c r="G117" s="49"/>
      <c r="H117" s="35"/>
      <c r="I117" s="35"/>
      <c r="J117" s="49"/>
      <c r="K117" s="35"/>
      <c r="L117" s="35"/>
      <c r="M117" s="35"/>
    </row>
    <row r="118" ht="19.5" customHeight="1" spans="1:14">
      <c r="A118" s="82" t="s">
        <v>35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5"/>
    </row>
    <row r="119" ht="19.5" customHeight="1" spans="1:14">
      <c r="A119" s="35"/>
      <c r="B119" s="35"/>
      <c r="C119" s="35"/>
      <c r="D119" s="49"/>
      <c r="E119" s="35"/>
      <c r="F119" s="35"/>
      <c r="G119" s="49"/>
      <c r="H119" s="35"/>
      <c r="I119" s="35"/>
      <c r="J119" s="49"/>
      <c r="K119" s="83" t="s">
        <v>127</v>
      </c>
    </row>
    <row r="120" ht="19.5" customHeight="1" spans="1:14">
      <c r="A120" s="35"/>
      <c r="B120" s="35"/>
      <c r="C120" s="35"/>
      <c r="D120" s="49"/>
      <c r="E120" s="35"/>
      <c r="F120" s="35"/>
      <c r="G120" s="49"/>
      <c r="H120" s="35"/>
      <c r="I120" s="35"/>
      <c r="J120" s="49"/>
    </row>
    <row r="121" ht="19.5" customHeight="1" spans="1:14">
      <c r="A121" s="92" t="s">
        <v>119</v>
      </c>
    </row>
    <row r="122" ht="19.5" customHeight="1" spans="1:14">
      <c r="A122" s="92" t="s">
        <v>118</v>
      </c>
      <c r="K122" s="35"/>
      <c r="L122" s="35"/>
      <c r="M122" s="35"/>
    </row>
    <row r="123" ht="19.5" customHeight="1" spans="1:14">
      <c r="A123" s="85" t="s">
        <v>128</v>
      </c>
    </row>
    <row r="124" ht="27" customHeight="1" spans="1:14">
      <c r="A124" s="17"/>
      <c r="B124" s="86" t="s">
        <v>129</v>
      </c>
      <c r="C124" s="86" t="s">
        <v>130</v>
      </c>
      <c r="D124" s="86" t="s">
        <v>131</v>
      </c>
      <c r="E124" s="86" t="s">
        <v>132</v>
      </c>
      <c r="F124" s="86" t="s">
        <v>133</v>
      </c>
      <c r="G124" s="86" t="s">
        <v>134</v>
      </c>
      <c r="H124" s="86" t="s">
        <v>135</v>
      </c>
      <c r="I124" s="86" t="s">
        <v>136</v>
      </c>
      <c r="J124" s="86" t="s">
        <v>137</v>
      </c>
      <c r="K124" s="86" t="s">
        <v>138</v>
      </c>
      <c r="L124" s="86" t="s">
        <v>139</v>
      </c>
      <c r="M124" s="86" t="s">
        <v>140</v>
      </c>
    </row>
    <row r="125" ht="19.5" customHeight="1" spans="1:14">
      <c r="A125" s="89" t="s">
        <v>68</v>
      </c>
      <c r="B125" s="8">
        <f>'50 изол (каолин)'!B125*0.9</f>
        <v>3634.66125</v>
      </c>
      <c r="C125" s="8">
        <f>'50 изол (каолин)'!C125*0.9</f>
        <v>3956.2875</v>
      </c>
      <c r="D125" s="88">
        <f>'50 изол (каолин)'!D125*0.9</f>
        <v>4212.45</v>
      </c>
      <c r="E125" s="8">
        <f>'50 изол (каолин)'!E125*0.9</f>
        <v>4565.385</v>
      </c>
      <c r="F125" s="8">
        <f>'50 изол (каолин)'!F125*0.9</f>
        <v>4841.47125</v>
      </c>
      <c r="G125" s="88">
        <f>'50 изол (каолин)'!G125*0.9</f>
        <v>5053.516875</v>
      </c>
      <c r="H125" s="8">
        <f>'50 изол (каолин)'!H125*0.9</f>
        <v>5541.64875</v>
      </c>
      <c r="I125" s="8">
        <f>'50 изол (каолин)'!I125*0.9</f>
        <v>6051.1275</v>
      </c>
      <c r="J125" s="88">
        <f>'50 изол (каолин)'!J125*0.9</f>
        <v>6506.5275</v>
      </c>
      <c r="K125" s="8">
        <f>'50 изол (каолин)'!K125*0.9</f>
        <v>8311.05</v>
      </c>
      <c r="L125" s="8">
        <f>'50 изол (каолин)'!L125*0.9</f>
        <v>9108</v>
      </c>
      <c r="M125" s="8">
        <f>'50 изол (каолин)'!M125*0.9</f>
        <v>9791.1</v>
      </c>
    </row>
    <row r="126" ht="19.5" customHeight="1" spans="1:14">
      <c r="A126" s="89" t="s">
        <v>18</v>
      </c>
      <c r="B126" s="8">
        <f>'50 изол (каолин)'!B126*0.9</f>
        <v>3136.5675</v>
      </c>
      <c r="C126" s="8">
        <f>'50 изол (каолин)'!C126*0.9</f>
        <v>3345.766875</v>
      </c>
      <c r="D126" s="88">
        <f>'50 изол (каолин)'!D126*0.9</f>
        <v>3643.2</v>
      </c>
      <c r="E126" s="8">
        <f>'50 изол (каолин)'!E126*0.9</f>
        <v>3860.938125</v>
      </c>
      <c r="F126" s="8">
        <f>'50 изол (каолин)'!F126*0.9</f>
        <v>4098.6</v>
      </c>
      <c r="G126" s="88">
        <f>'50 изол (каолин)'!G126*0.9</f>
        <v>4203.91125</v>
      </c>
      <c r="H126" s="8">
        <f>'50 изол (каолин)'!H126*0.9</f>
        <v>4770.315</v>
      </c>
      <c r="I126" s="8">
        <f>'50 изол (каолин)'!I126*0.9</f>
        <v>10418.698125</v>
      </c>
      <c r="J126" s="88">
        <f>'50 изол (каолин)'!J126*0.9</f>
        <v>5464.8</v>
      </c>
      <c r="K126" s="8">
        <f>'50 изол (каолин)'!K126*0.9</f>
        <v>7058.7</v>
      </c>
      <c r="L126" s="8">
        <f>'50 изол (каолин)'!L126*0.9</f>
        <v>7741.8</v>
      </c>
      <c r="M126" s="8">
        <f>'50 изол (каолин)'!M126*0.9</f>
        <v>8367.975</v>
      </c>
    </row>
    <row r="127" ht="19.5" customHeight="1" spans="1:14">
      <c r="A127" s="89" t="s">
        <v>19</v>
      </c>
      <c r="B127" s="8">
        <f>'50 изол (каолин)'!B127*0.9</f>
        <v>2558.77875</v>
      </c>
      <c r="C127" s="8">
        <f>'50 изол (каолин)'!C127*0.9</f>
        <v>2736.669375</v>
      </c>
      <c r="D127" s="88">
        <f>'50 изол (каолин)'!D127*0.9</f>
        <v>2960.1</v>
      </c>
      <c r="E127" s="8">
        <f>'50 изол (каолин)'!E127*0.9</f>
        <v>3155.068125</v>
      </c>
      <c r="F127" s="8">
        <f>'50 изол (каолин)'!F127*0.9</f>
        <v>3350.03625</v>
      </c>
      <c r="G127" s="88">
        <f>'50 изол (каолин)'!G127*0.9</f>
        <v>3697.27875</v>
      </c>
      <c r="H127" s="8">
        <f>'50 изол (каолин)'!H127*0.9</f>
        <v>3885.13125</v>
      </c>
      <c r="I127" s="8">
        <f>'50 изол (каолин)'!I127*0.9</f>
        <v>4310.645625</v>
      </c>
      <c r="J127" s="88">
        <f>'50 изол (каолин)'!J127*0.9</f>
        <v>4554</v>
      </c>
      <c r="K127" s="8">
        <f>'50 изол (каолин)'!K127*0.9</f>
        <v>5841.928125</v>
      </c>
      <c r="L127" s="8">
        <f>'50 изол (каолин)'!L127*0.9</f>
        <v>6445.333125</v>
      </c>
      <c r="M127" s="8">
        <f>'50 изол (каолин)'!M127*0.9</f>
        <v>6846.654375</v>
      </c>
    </row>
    <row r="128" ht="19.5" customHeight="1" spans="1:14">
      <c r="A128" s="89" t="s">
        <v>20</v>
      </c>
      <c r="B128" s="8">
        <f>'50 изол (каолин)'!B128*0.9</f>
        <v>2336.77125</v>
      </c>
      <c r="C128" s="8">
        <f>'50 изол (каолин)'!C128*0.9</f>
        <v>2390.85</v>
      </c>
      <c r="D128" s="88">
        <f>'50 изол (каолин)'!D128*0.9</f>
        <v>2526.046875</v>
      </c>
      <c r="E128" s="8">
        <f>'50 изол (каолин)'!E128*0.9</f>
        <v>2621.39625</v>
      </c>
      <c r="F128" s="8">
        <f>'50 изол (каолин)'!F128*0.9</f>
        <v>2869.02</v>
      </c>
      <c r="G128" s="88">
        <f>'50 изол (каолин)'!G128*0.9</f>
        <v>2991.40875</v>
      </c>
      <c r="H128" s="8">
        <f>'50 изол (каолин)'!H128*0.9</f>
        <v>3078.219375</v>
      </c>
      <c r="I128" s="8">
        <f>'50 изол (каолин)'!I128*0.9</f>
        <v>3315.88125</v>
      </c>
      <c r="J128" s="88">
        <f>'50 изол (каолин)'!J128*0.9</f>
        <v>3802.59</v>
      </c>
      <c r="K128" s="8">
        <f>'50 изол (каолин)'!K128*0.9</f>
        <v>4457.2275</v>
      </c>
      <c r="L128" s="8">
        <f>'50 изол (каолин)'!L128*0.9</f>
        <v>4850.01</v>
      </c>
      <c r="M128" s="8">
        <f>'50 изол (каолин)'!M128*0.9</f>
        <v>5086.24875</v>
      </c>
    </row>
    <row r="129" ht="19.5" customHeight="1" spans="1:14">
      <c r="A129" s="89" t="s">
        <v>21</v>
      </c>
      <c r="B129" s="8">
        <f>'50 изол (каолин)'!B129*0.9</f>
        <v>1858.60125</v>
      </c>
      <c r="C129" s="8">
        <f>'50 изол (каолин)'!C129*0.9</f>
        <v>1898.44875</v>
      </c>
      <c r="D129" s="88">
        <f>'50 изол (каолин)'!D129*0.9</f>
        <v>1995.22125</v>
      </c>
      <c r="E129" s="8">
        <f>'50 изол (каолин)'!E129*0.9</f>
        <v>2062.108125</v>
      </c>
      <c r="F129" s="8">
        <f>'50 изол (каолин)'!F129*0.9</f>
        <v>2239.99875</v>
      </c>
      <c r="G129" s="88">
        <f>'50 изол (каолин)'!G129*0.9</f>
        <v>2333.925</v>
      </c>
      <c r="H129" s="8">
        <f>'50 изол (каолин)'!H129*0.9</f>
        <v>2396.5425</v>
      </c>
      <c r="I129" s="8">
        <f>'50 изол (каолин)'!I129*0.9</f>
        <v>2565.894375</v>
      </c>
      <c r="J129" s="88">
        <f>'50 изол (каолин)'!J129*0.9</f>
        <v>2920.2525</v>
      </c>
      <c r="K129" s="8">
        <f>'50 изол (каолин)'!K129*0.9</f>
        <v>3395.57625</v>
      </c>
      <c r="L129" s="8">
        <f>'50 изол (каолин)'!L129*0.9</f>
        <v>3681.624375</v>
      </c>
      <c r="M129" s="8">
        <f>'50 изол (каолин)'!M129*0.9</f>
        <v>3852.399375</v>
      </c>
    </row>
    <row r="130" ht="19.5" customHeight="1" spans="1:14">
      <c r="A130" s="89" t="s">
        <v>22</v>
      </c>
      <c r="B130" s="8">
        <f>'50 изол (каолин)'!B130*0.9</f>
        <v>1400.355</v>
      </c>
      <c r="C130" s="8">
        <f>'50 изол (каолин)'!C130*0.9</f>
        <v>1421.701875</v>
      </c>
      <c r="D130" s="88">
        <f>'50 изол (каолин)'!D130*0.9</f>
        <v>1477.20375</v>
      </c>
      <c r="E130" s="8">
        <f>'50 изол (каолин)'!E130*0.9</f>
        <v>1514.205</v>
      </c>
      <c r="F130" s="8">
        <f>'50 изол (каолин)'!F130*0.9</f>
        <v>1615.246875</v>
      </c>
      <c r="G130" s="88">
        <f>'50 изол (каолин)'!G130*0.9</f>
        <v>1682.13375</v>
      </c>
      <c r="H130" s="8">
        <f>'50 изол (каолин)'!H130*0.9</f>
        <v>1716.28875</v>
      </c>
      <c r="I130" s="8">
        <f>'50 изол (каолин)'!I130*0.9</f>
        <v>1813.06125</v>
      </c>
      <c r="J130" s="88">
        <f>'50 изол (каолин)'!J130*0.9</f>
        <v>2027.953125</v>
      </c>
      <c r="K130" s="8">
        <f>'50 изол (каолин)'!K130*0.9</f>
        <v>2308.30875</v>
      </c>
      <c r="L130" s="8">
        <f>'50 изол (каолин)'!L130*0.9</f>
        <v>2477.660625</v>
      </c>
      <c r="M130" s="8">
        <f>'50 изол (каолин)'!M130*0.9</f>
        <v>2578.7025</v>
      </c>
    </row>
    <row r="131" ht="19.5" customHeight="1" spans="1:14">
      <c r="A131" s="89" t="s">
        <v>23</v>
      </c>
      <c r="B131" s="8">
        <f>'50 изол (каолин)'!B131*0.9</f>
        <v>4209.60375</v>
      </c>
      <c r="C131" s="8">
        <f>'50 изол (каолин)'!C131*0.9</f>
        <v>4489.959375</v>
      </c>
      <c r="D131" s="88">
        <f>'50 изол (каолин)'!D131*0.9</f>
        <v>4938.24375</v>
      </c>
      <c r="E131" s="8">
        <f>'50 изол (каолин)'!E131*0.9</f>
        <v>5262.71625</v>
      </c>
      <c r="F131" s="8">
        <f>'50 изол (каолин)'!F131*0.9</f>
        <v>5689.65375</v>
      </c>
      <c r="G131" s="88">
        <f>'50 изол (каолин)'!G131*0.9</f>
        <v>6258.90375</v>
      </c>
      <c r="H131" s="8">
        <f>'50 изол (каолин)'!H131*0.9</f>
        <v>6826.730625</v>
      </c>
      <c r="I131" s="8">
        <f>'50 изол (каолин)'!I131*0.9</f>
        <v>7044.46875</v>
      </c>
      <c r="J131" s="88">
        <f>'50 изол (каолин)'!J131*0.9</f>
        <v>7746.069375</v>
      </c>
      <c r="K131" s="8">
        <f>'50 изол (каолин)'!K131*0.9</f>
        <v>9765.48375</v>
      </c>
      <c r="L131" s="8">
        <f>'50 изол (каолин)'!L131*0.9</f>
        <v>10976.563125</v>
      </c>
      <c r="M131" s="8">
        <f>'50 изол (каолин)'!M131*0.9</f>
        <v>11783.475</v>
      </c>
    </row>
    <row r="132" ht="19.5" customHeight="1" spans="1:14">
      <c r="A132" s="89" t="s">
        <v>24</v>
      </c>
      <c r="B132" s="8">
        <f>'50 изол (каолин)'!B132*0.9</f>
        <v>3981.90375</v>
      </c>
      <c r="C132" s="8">
        <f>'50 изол (каолин)'!C132*0.9</f>
        <v>4262.259375</v>
      </c>
      <c r="D132" s="88">
        <f>'50 изол (каолин)'!D132*0.9</f>
        <v>4710.54375</v>
      </c>
      <c r="E132" s="8">
        <f>'50 изол (каолин)'!E132*0.9</f>
        <v>5035.01625</v>
      </c>
      <c r="F132" s="8">
        <f>'50 изол (каолин)'!F132*0.9</f>
        <v>5461.95375</v>
      </c>
      <c r="G132" s="88">
        <f>'50 изол (каолин)'!G132*0.9</f>
        <v>6031.20375</v>
      </c>
      <c r="H132" s="8">
        <f>'50 изол (каолин)'!H132*0.9</f>
        <v>6599.030625</v>
      </c>
      <c r="I132" s="8">
        <f>'50 изол (каолин)'!I132*0.9</f>
        <v>6816.76875</v>
      </c>
      <c r="J132" s="88">
        <f>'50 изол (каолин)'!J132*0.9</f>
        <v>7518.369375</v>
      </c>
      <c r="K132" s="8">
        <f>'50 изол (каолин)'!K132*0.9</f>
        <v>9537.78375</v>
      </c>
      <c r="L132" s="8">
        <f>'50 изол (каолин)'!L132*0.9</f>
        <v>10748.863125</v>
      </c>
      <c r="M132" s="8">
        <f>'50 изол (каолин)'!M132*0.9</f>
        <v>11555.775</v>
      </c>
    </row>
    <row r="133" ht="19.5" customHeight="1" spans="1:14">
      <c r="A133" s="89" t="s">
        <v>26</v>
      </c>
      <c r="B133" s="8">
        <f>'50 изол (каолин)'!B133*0.9</f>
        <v>4985.206875</v>
      </c>
      <c r="C133" s="8">
        <f>'50 изол (каолин)'!C133*0.9</f>
        <v>5460.530625</v>
      </c>
      <c r="D133" s="88">
        <f>'50 изол (каолин)'!D133*0.9</f>
        <v>5883.19875</v>
      </c>
      <c r="E133" s="8">
        <f>'50 изол (каолин)'!E133*0.9</f>
        <v>6335.7525</v>
      </c>
      <c r="F133" s="8">
        <f>'50 изол (каолин)'!F133*0.9</f>
        <v>6593.338125</v>
      </c>
      <c r="G133" s="88">
        <f>'50 изол (каолин)'!G133*0.9</f>
        <v>7091.431875</v>
      </c>
      <c r="H133" s="8">
        <f>'50 изол (каолин)'!H133*0.9</f>
        <v>7408.78875</v>
      </c>
      <c r="I133" s="8">
        <f>'50 изол (каолин)'!I133*0.9</f>
        <v>8100.4275</v>
      </c>
      <c r="J133" s="88">
        <f>'50 изол (каолин)'!J133*0.9</f>
        <v>8985.61125</v>
      </c>
      <c r="K133" s="8">
        <f>'50 изол (каолин)'!K133*0.9</f>
        <v>11128.8375</v>
      </c>
      <c r="L133" s="8">
        <f>'50 изол (каолин)'!L133*0.9</f>
        <v>12413.919375</v>
      </c>
      <c r="M133" s="8">
        <f>'50 изол (каолин)'!M133*0.9</f>
        <v>13272.06375</v>
      </c>
    </row>
    <row r="134" ht="19.5" customHeight="1" spans="1:14">
      <c r="A134" s="89" t="s">
        <v>27</v>
      </c>
      <c r="B134" s="8">
        <f>'50 изол (каолин)'!B134*0.9</f>
        <v>6577.68375</v>
      </c>
      <c r="C134" s="8">
        <f>'50 изол (каолин)'!C134*0.9</f>
        <v>6909.271875</v>
      </c>
      <c r="D134" s="88">
        <f>'50 изол (каолин)'!D134*0.9</f>
        <v>7172.55</v>
      </c>
      <c r="E134" s="8">
        <f>'50 изол (каолин)'!E134*0.9</f>
        <v>7589.525625</v>
      </c>
      <c r="F134" s="8">
        <f>'50 изол (каолин)'!F134*0.9</f>
        <v>8022.155625</v>
      </c>
      <c r="G134" s="88">
        <f>'50 изол (каолин)'!G134*0.9</f>
        <v>8683.90875</v>
      </c>
      <c r="H134" s="8">
        <f>'50 изол (каолин)'!H134*0.9</f>
        <v>9241.77375</v>
      </c>
      <c r="I134" s="8">
        <f>'50 изол (каолин)'!I134*0.9</f>
        <v>10477.04625</v>
      </c>
      <c r="J134" s="88">
        <f>'50 изол (каолин)'!J134*0.9</f>
        <v>12368.379375</v>
      </c>
      <c r="K134" s="8">
        <f>'50 изол (каолин)'!K134*0.9</f>
        <v>14975.544375</v>
      </c>
      <c r="L134" s="8">
        <f>'50 изол (каолин)'!L134*0.9</f>
        <v>1653.67125</v>
      </c>
      <c r="M134" s="8">
        <f>'50 изол (каолин)'!M134*0.9</f>
        <v>17478.82125</v>
      </c>
    </row>
    <row r="135" ht="19.5" customHeight="1" spans="1:14">
      <c r="A135" s="89" t="s">
        <v>70</v>
      </c>
      <c r="B135" s="8">
        <f>'50 изол (каолин)'!B135*0.9</f>
        <v>11746.47375</v>
      </c>
      <c r="C135" s="8">
        <f>'50 изол (каолин)'!C135*0.9</f>
        <v>12144.94875</v>
      </c>
      <c r="D135" s="88">
        <f>'50 изол (каолин)'!D135*0.9</f>
        <v>12479.383125</v>
      </c>
      <c r="E135" s="8">
        <f>'50 изол (каолин)'!E135*0.9</f>
        <v>12856.51125</v>
      </c>
      <c r="F135" s="8">
        <f>'50 изол (каолин)'!F135*0.9</f>
        <v>13277.75625</v>
      </c>
      <c r="G135" s="88">
        <f>'50 изол (каолин)'!G135*0.9</f>
        <v>14214.1725</v>
      </c>
      <c r="H135" s="8">
        <f>'50 изол (каолин)'!H135*0.9</f>
        <v>14723.65125</v>
      </c>
      <c r="I135" s="8">
        <f>'50 изол (каолин)'!I135*0.9</f>
        <v>15827.99625</v>
      </c>
      <c r="J135" s="88">
        <f>'50 изол (каолин)'!J135*0.9</f>
        <v>17693.713125</v>
      </c>
      <c r="K135" s="8">
        <f>'50 изол (каолин)'!K135*0.9</f>
        <v>20937.015</v>
      </c>
      <c r="L135" s="8">
        <f>'50 изол (каолин)'!L135*0.9</f>
        <v>22882.426875</v>
      </c>
      <c r="M135" s="8">
        <f>'50 изол (каолин)'!M135*0.9</f>
        <v>24050.8125</v>
      </c>
    </row>
    <row r="136" ht="19.5" customHeight="1" spans="1:14">
      <c r="A136" s="89" t="s">
        <v>71</v>
      </c>
      <c r="B136" s="8">
        <f>'50 изол (каолин)'!B136*0.9</f>
        <v>1363.35375</v>
      </c>
      <c r="C136" s="8">
        <f>'50 изол (каолин)'!C136*0.9</f>
        <v>1388.97</v>
      </c>
      <c r="D136" s="88">
        <f>'50 изол (каолин)'!D136*0.9</f>
        <v>1480.05</v>
      </c>
      <c r="E136" s="8">
        <f>'50 изол (каолин)'!E136*0.9</f>
        <v>1628.055</v>
      </c>
      <c r="F136" s="8">
        <f>'50 изол (каолин)'!F136*0.9</f>
        <v>1740.481875</v>
      </c>
      <c r="G136" s="88">
        <f>'50 изол (каолин)'!G136*0.9</f>
        <v>1840.100625</v>
      </c>
      <c r="H136" s="8">
        <f>'50 изол (каолин)'!H136*0.9</f>
        <v>1988.105625</v>
      </c>
      <c r="I136" s="8">
        <f>'50 изол (каолин)'!I136*0.9</f>
        <v>2049.3</v>
      </c>
      <c r="J136" s="88">
        <f>'50 изол (каолин)'!J136*0.9</f>
        <v>2277</v>
      </c>
      <c r="K136" s="8">
        <f>'50 изол (каолин)'!K136*0.9</f>
        <v>2588.664375</v>
      </c>
      <c r="L136" s="8">
        <f>'50 изол (каолин)'!L136*0.9</f>
        <v>2775.09375</v>
      </c>
      <c r="M136" s="8">
        <f>'50 изол (каолин)'!M136*0.9</f>
        <v>2888.94375</v>
      </c>
    </row>
    <row r="137" ht="19.5" customHeight="1" spans="1:14">
      <c r="A137" s="89" t="s">
        <v>81</v>
      </c>
      <c r="B137" s="8">
        <f>'50 изол (каолин)'!B137*0.9</f>
        <v>3812.551875</v>
      </c>
      <c r="C137" s="8">
        <f>'50 изол (каолин)'!C137*0.9</f>
        <v>3974.788125</v>
      </c>
      <c r="D137" s="88">
        <f>'50 изол (каолин)'!D137*0.9</f>
        <v>4028.866875</v>
      </c>
      <c r="E137" s="8">
        <f>'50 изол (каолин)'!E137*0.9</f>
        <v>4208.180625</v>
      </c>
      <c r="F137" s="8">
        <f>'50 изол (каолин)'!F137*0.9</f>
        <v>4398.879375</v>
      </c>
      <c r="G137" s="88">
        <f>'50 изол (каолин)'!G137*0.9</f>
        <v>4859.971875</v>
      </c>
      <c r="H137" s="8">
        <f>'50 изол (каолин)'!H137*0.9</f>
        <v>5188.71375</v>
      </c>
      <c r="I137" s="8">
        <f>'50 изол (каолин)'!I137*0.9</f>
        <v>5702.461875</v>
      </c>
      <c r="J137" s="88">
        <f>'50 изол (каолин)'!J137*0.9</f>
        <v>6381.2925</v>
      </c>
      <c r="K137" s="8">
        <f>'50 изол (каолин)'!K137*0.9</f>
        <v>7845.688125</v>
      </c>
      <c r="L137" s="8">
        <f>'50 изол (каолин)'!L137*0.9</f>
        <v>8723.75625</v>
      </c>
      <c r="M137" s="8">
        <f>'50 изол (каолин)'!M137*0.9</f>
        <v>9251.735625</v>
      </c>
    </row>
    <row r="138" ht="19.5" customHeight="1" spans="1:14">
      <c r="A138" s="89" t="s">
        <v>82</v>
      </c>
      <c r="B138" s="8">
        <f>'50 изол (каолин)'!B138*0.9</f>
        <v>4951.051875</v>
      </c>
      <c r="C138" s="8">
        <f>'50 изол (каолин)'!C138*0.9</f>
        <v>5113.288125</v>
      </c>
      <c r="D138" s="88">
        <f>'50 изол (каолин)'!D138*0.9</f>
        <v>5167.366875</v>
      </c>
      <c r="E138" s="8">
        <f>'50 изол (каолин)'!E138*0.9</f>
        <v>5346.680625</v>
      </c>
      <c r="F138" s="8">
        <f>'50 изол (каолин)'!F138*0.9</f>
        <v>5537.379375</v>
      </c>
      <c r="G138" s="88">
        <f>'50 изол (каолин)'!G138*0.9</f>
        <v>5998.471875</v>
      </c>
      <c r="H138" s="8">
        <f>'50 изол (каолин)'!H138*0.9</f>
        <v>6327.21375</v>
      </c>
      <c r="I138" s="8">
        <f>'50 изол (каолин)'!I138*0.9</f>
        <v>6840.961875</v>
      </c>
      <c r="J138" s="88">
        <f>'50 изол (каолин)'!J138*0.9</f>
        <v>7519.7925</v>
      </c>
      <c r="K138" s="8">
        <f>'50 изол (каолин)'!K138*0.9</f>
        <v>8984.188125</v>
      </c>
      <c r="L138" s="8">
        <f>'50 изол (каолин)'!L138*0.9</f>
        <v>9862.25625</v>
      </c>
      <c r="M138" s="8">
        <f>'50 изол (каолин)'!M138*0.9</f>
        <v>10390.235625</v>
      </c>
    </row>
    <row r="139" ht="19.5" customHeight="1" spans="1:14">
      <c r="A139" s="89" t="s">
        <v>39</v>
      </c>
      <c r="B139" s="8">
        <f>'50 изол (каолин)'!B139*0.9</f>
        <v>3415.5</v>
      </c>
      <c r="C139" s="8">
        <f>'50 изол (каолин)'!C139*0.9</f>
        <v>3860.938125</v>
      </c>
      <c r="D139" s="88">
        <f>'50 изол (каолин)'!D139*0.9</f>
        <v>3915.016875</v>
      </c>
      <c r="E139" s="8">
        <f>'50 изол (каолин)'!E139*0.9</f>
        <v>4094.330625</v>
      </c>
      <c r="F139" s="8">
        <f>'50 изол (каолин)'!F139*0.9</f>
        <v>4285.029375</v>
      </c>
      <c r="G139" s="88">
        <f>'50 изол (каолин)'!G139*0.9</f>
        <v>4632.271875</v>
      </c>
      <c r="H139" s="8">
        <f>'50 изол (каолин)'!H139*0.9</f>
        <v>4847.16375</v>
      </c>
      <c r="I139" s="8">
        <f>'50 изол (каолин)'!I139*0.9</f>
        <v>5247.061875</v>
      </c>
      <c r="J139" s="88">
        <f>'50 изол (каолин)'!J139*0.9</f>
        <v>5809.19625</v>
      </c>
      <c r="K139" s="8">
        <f>'50 изол (каолин)'!K139*0.9</f>
        <v>7162.588125</v>
      </c>
      <c r="L139" s="8">
        <f>'50 изол (каолин)'!L139*0.9</f>
        <v>7973.769375</v>
      </c>
      <c r="M139" s="8">
        <f>'50 изол (каолин)'!M139*0.9</f>
        <v>8461.90125</v>
      </c>
    </row>
    <row r="140" ht="19.5" customHeight="1" spans="1:14">
      <c r="A140" s="35"/>
      <c r="B140" s="35"/>
      <c r="C140" s="35"/>
      <c r="D140" s="49"/>
      <c r="E140" s="35"/>
      <c r="F140" s="35"/>
      <c r="G140" s="49"/>
      <c r="H140" s="35"/>
      <c r="I140" s="35"/>
      <c r="J140" s="49"/>
      <c r="K140" s="35"/>
      <c r="L140" s="35"/>
      <c r="M140" s="35"/>
    </row>
    <row r="141" ht="19.5" customHeight="1" spans="1:14">
      <c r="A141" s="82" t="s">
        <v>35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ht="19.5" customHeight="1" spans="1:14">
      <c r="A142" s="35"/>
      <c r="B142" s="35"/>
      <c r="C142" s="35"/>
      <c r="D142" s="49"/>
      <c r="E142" s="35"/>
      <c r="F142" s="35"/>
      <c r="G142" s="49"/>
      <c r="H142" s="35"/>
      <c r="I142" s="35"/>
      <c r="J142" s="49"/>
      <c r="K142" s="83" t="s">
        <v>127</v>
      </c>
    </row>
    <row r="143" ht="19.5" customHeight="1" spans="1:14">
      <c r="A143" s="35"/>
      <c r="B143" s="35"/>
      <c r="C143" s="35"/>
      <c r="D143" s="49"/>
      <c r="E143" s="35"/>
      <c r="F143" s="35"/>
      <c r="G143" s="49"/>
      <c r="H143" s="35"/>
      <c r="I143" s="35"/>
      <c r="J143" s="49"/>
    </row>
    <row r="144" ht="19.5" customHeight="1" spans="1:14">
      <c r="A144" s="92" t="s">
        <v>120</v>
      </c>
    </row>
    <row r="145" ht="19.5" customHeight="1" spans="1:13">
      <c r="A145" s="92" t="s">
        <v>101</v>
      </c>
      <c r="K145" s="35"/>
      <c r="L145" s="35"/>
      <c r="M145" s="35"/>
    </row>
    <row r="146" ht="19.5" customHeight="1" spans="1:13">
      <c r="A146" s="85" t="s">
        <v>128</v>
      </c>
    </row>
    <row r="147" ht="27" customHeight="1" spans="1:13">
      <c r="A147" s="17"/>
      <c r="B147" s="86" t="s">
        <v>129</v>
      </c>
      <c r="C147" s="86" t="s">
        <v>130</v>
      </c>
      <c r="D147" s="86" t="s">
        <v>131</v>
      </c>
      <c r="E147" s="86" t="s">
        <v>132</v>
      </c>
      <c r="F147" s="86" t="s">
        <v>133</v>
      </c>
      <c r="G147" s="86" t="s">
        <v>134</v>
      </c>
      <c r="H147" s="86" t="s">
        <v>135</v>
      </c>
      <c r="I147" s="86" t="s">
        <v>136</v>
      </c>
      <c r="J147" s="86" t="s">
        <v>137</v>
      </c>
      <c r="K147" s="86" t="s">
        <v>138</v>
      </c>
      <c r="L147" s="86" t="s">
        <v>139</v>
      </c>
      <c r="M147" s="86" t="s">
        <v>140</v>
      </c>
    </row>
    <row r="148" ht="19.5" customHeight="1" spans="1:13">
      <c r="A148" s="89" t="s">
        <v>68</v>
      </c>
      <c r="B148" s="8">
        <f>'50 изол (каолин)'!B148*0.9</f>
        <v>2994.75</v>
      </c>
      <c r="C148" s="8">
        <f>'50 изол (каолин)'!C148*0.9</f>
        <v>3198.9375</v>
      </c>
      <c r="D148" s="88">
        <f>'50 изол (каолин)'!D148*0.9</f>
        <v>3457.575</v>
      </c>
      <c r="E148" s="8">
        <f>'50 изол (каолин)'!E148*0.9</f>
        <v>3596.4225</v>
      </c>
      <c r="F148" s="8">
        <f>'50 изол (каолин)'!F148*0.9</f>
        <v>3947.625</v>
      </c>
      <c r="G148" s="88">
        <f>'50 изол (каолин)'!G148*0.9</f>
        <v>4225.32</v>
      </c>
      <c r="H148" s="8">
        <f>'50 изол (каолин)'!H148*0.9</f>
        <v>4492.125</v>
      </c>
      <c r="I148" s="8">
        <f>'50 изол (каолин)'!I148*0.9</f>
        <v>4833.79875</v>
      </c>
      <c r="J148" s="88">
        <f>'50 изол (каолин)'!J148*0.9</f>
        <v>5464.0575</v>
      </c>
      <c r="K148" s="8">
        <f>'50 изол (каолин)'!K148*0.9</f>
        <v>6414.21</v>
      </c>
      <c r="L148" s="8">
        <f>'50 изол (каолин)'!L148*0.9</f>
        <v>6984.57375</v>
      </c>
      <c r="M148" s="8">
        <f>'50 изол (каолин)'!M148*0.9</f>
        <v>7364.3625</v>
      </c>
    </row>
    <row r="149" ht="19.5" customHeight="1" spans="1:13">
      <c r="A149" s="89" t="s">
        <v>18</v>
      </c>
      <c r="B149" s="8">
        <f>'50 изол (каолин)'!B149*0.9</f>
        <v>2555.06625</v>
      </c>
      <c r="C149" s="8">
        <f>'50 изол (каолин)'!C149*0.9</f>
        <v>2722.5</v>
      </c>
      <c r="D149" s="88">
        <f>'50 изол (каолин)'!D149*0.9</f>
        <v>2921.2425</v>
      </c>
      <c r="E149" s="8">
        <f>'50 изол (каолин)'!E149*0.9</f>
        <v>3160.8225</v>
      </c>
      <c r="F149" s="8">
        <f>'50 изол (каолин)'!F149*0.9</f>
        <v>3377.26125</v>
      </c>
      <c r="G149" s="88">
        <f>'50 изол (каолин)'!G149*0.9</f>
        <v>3548.77875</v>
      </c>
      <c r="H149" s="8">
        <f>'50 изол (каолин)'!H149*0.9</f>
        <v>3644.06625</v>
      </c>
      <c r="I149" s="8">
        <f>'50 изол (каолин)'!I149*0.9</f>
        <v>3891.81375</v>
      </c>
      <c r="J149" s="88">
        <f>'50 изол (каолин)'!J149*0.9</f>
        <v>4372.335</v>
      </c>
      <c r="K149" s="8">
        <f>'50 изол (каолин)'!K149*0.9</f>
        <v>5092.43625</v>
      </c>
      <c r="L149" s="8">
        <f>'50 изол (каолин)'!L149*0.9</f>
        <v>5523.9525</v>
      </c>
      <c r="M149" s="8">
        <f>'50 изол (каолин)'!M149*0.9</f>
        <v>5812.5375</v>
      </c>
    </row>
    <row r="150" ht="19.5" customHeight="1" spans="1:13">
      <c r="A150" s="89" t="s">
        <v>19</v>
      </c>
      <c r="B150" s="8">
        <f>'50 изол (каолин)'!B150*0.9</f>
        <v>2094.96375</v>
      </c>
      <c r="C150" s="8">
        <f>'50 изол (каолин)'!C150*0.9</f>
        <v>2236.53375</v>
      </c>
      <c r="D150" s="88">
        <f>'50 изол (каолин)'!D150*0.9</f>
        <v>2383.54875</v>
      </c>
      <c r="E150" s="8">
        <f>'50 изол (каолин)'!E150*0.9</f>
        <v>2589.0975</v>
      </c>
      <c r="F150" s="8">
        <f>'50 изол (каолин)'!F150*0.9</f>
        <v>2733.39</v>
      </c>
      <c r="G150" s="88">
        <f>'50 изол (каолин)'!G150*0.9</f>
        <v>2993.38875</v>
      </c>
      <c r="H150" s="8">
        <f>'50 изол (каолин)'!H150*0.9</f>
        <v>3057.3675</v>
      </c>
      <c r="I150" s="8">
        <f>'50 изол (каолин)'!I150*0.9</f>
        <v>3222.07875</v>
      </c>
      <c r="J150" s="88">
        <f>'50 изол (каолин)'!J150*0.9</f>
        <v>3552.8625</v>
      </c>
      <c r="K150" s="8">
        <f>'50 изол (каолин)'!K150*0.9</f>
        <v>4041.55125</v>
      </c>
      <c r="L150" s="8">
        <f>'50 изол (каолин)'!L150*0.9</f>
        <v>4334.22</v>
      </c>
      <c r="M150" s="8">
        <f>'50 изол (каолин)'!M150*0.9</f>
        <v>4530.24</v>
      </c>
    </row>
    <row r="151" ht="19.5" customHeight="1" spans="1:13">
      <c r="A151" s="89" t="s">
        <v>20</v>
      </c>
      <c r="B151" s="8">
        <f>'50 изол (каолин)'!B151*0.9</f>
        <v>1736.955</v>
      </c>
      <c r="C151" s="8">
        <f>'50 изол (каолин)'!C151*0.9</f>
        <v>1916.64</v>
      </c>
      <c r="D151" s="88">
        <f>'50 изол (каолин)'!D151*0.9</f>
        <v>2021.45625</v>
      </c>
      <c r="E151" s="8">
        <f>'50 изол (каолин)'!E151*0.9</f>
        <v>2089.51875</v>
      </c>
      <c r="F151" s="8">
        <f>'50 изол (каолин)'!F151*0.9</f>
        <v>2282.81625</v>
      </c>
      <c r="G151" s="88">
        <f>'50 изол (каолин)'!G151*0.9</f>
        <v>2393.0775</v>
      </c>
      <c r="H151" s="8">
        <f>'50 изол (каолин)'!H151*0.9</f>
        <v>2442.0825</v>
      </c>
      <c r="I151" s="8">
        <f>'50 изол (каолин)'!I151*0.9</f>
        <v>2623.12875</v>
      </c>
      <c r="J151" s="88">
        <f>'50 изол (каолин)'!J151*0.9</f>
        <v>2866.7925</v>
      </c>
      <c r="K151" s="8">
        <f>'50 изол (каолин)'!K151*0.9</f>
        <v>3510.66375</v>
      </c>
      <c r="L151" s="8">
        <f>'50 изол (каолин)'!L151*0.9</f>
        <v>3815.58375</v>
      </c>
      <c r="M151" s="8">
        <f>'50 изол (каолин)'!M151*0.9</f>
        <v>3997.99125</v>
      </c>
    </row>
    <row r="152" ht="19.5" customHeight="1" spans="1:13">
      <c r="A152" s="89" t="s">
        <v>21</v>
      </c>
      <c r="B152" s="8">
        <f>'50 изол (каолин)'!B152*0.9</f>
        <v>1396.6425</v>
      </c>
      <c r="C152" s="8">
        <f>'50 изол (каолин)'!C152*0.9</f>
        <v>1553.18625</v>
      </c>
      <c r="D152" s="88">
        <f>'50 изол (каолин)'!D152*0.9</f>
        <v>1623.97125</v>
      </c>
      <c r="E152" s="8">
        <f>'50 изол (каолин)'!E152*0.9</f>
        <v>1671.615</v>
      </c>
      <c r="F152" s="8">
        <f>'50 изол (каолин)'!F152*0.9</f>
        <v>1807.74</v>
      </c>
      <c r="G152" s="88">
        <f>'50 изол (каолин)'!G152*0.9</f>
        <v>2030.985</v>
      </c>
      <c r="H152" s="8">
        <f>'50 изол (каолин)'!H152*0.9</f>
        <v>2063.655</v>
      </c>
      <c r="I152" s="8">
        <f>'50 изол (каолин)'!I152*0.9</f>
        <v>2187.52875</v>
      </c>
      <c r="J152" s="88">
        <f>'50 изол (каолин)'!J152*0.9</f>
        <v>2459.77875</v>
      </c>
      <c r="K152" s="8">
        <f>'50 изол (каолин)'!K152*0.9</f>
        <v>2830.03875</v>
      </c>
      <c r="L152" s="8">
        <f>'50 изол (каолин)'!L152*0.9</f>
        <v>3051.9225</v>
      </c>
      <c r="M152" s="8">
        <f>'50 изол (каолин)'!M152*0.9</f>
        <v>3185.325</v>
      </c>
    </row>
    <row r="153" ht="19.5" customHeight="1" spans="1:13">
      <c r="A153" s="89" t="s">
        <v>22</v>
      </c>
      <c r="B153" s="8">
        <f>'50 изол (каолин)'!B153*0.9</f>
        <v>1170.675</v>
      </c>
      <c r="C153" s="8">
        <f>'50 изол (каолин)'!C153*0.9</f>
        <v>1319.05125</v>
      </c>
      <c r="D153" s="88">
        <f>'50 изол (каолин)'!D153*0.9</f>
        <v>1361.25</v>
      </c>
      <c r="E153" s="8">
        <f>'50 изол (каолин)'!E153*0.9</f>
        <v>1391.1975</v>
      </c>
      <c r="F153" s="8">
        <f>'50 изол (каолин)'!F153*0.9</f>
        <v>1472.8725</v>
      </c>
      <c r="G153" s="88">
        <f>'50 изол (каолин)'!G153*0.9</f>
        <v>1535.49</v>
      </c>
      <c r="H153" s="8">
        <f>'50 изол (каолин)'!H153*0.9</f>
        <v>1555.90875</v>
      </c>
      <c r="I153" s="8">
        <f>'50 изол (каолин)'!I153*0.9</f>
        <v>1630.7775</v>
      </c>
      <c r="J153" s="88">
        <f>'50 изол (каолин)'!J153*0.9</f>
        <v>1805.0175</v>
      </c>
      <c r="K153" s="8">
        <f>'50 изол (каолин)'!K153*0.9</f>
        <v>2030.985</v>
      </c>
      <c r="L153" s="8">
        <f>'50 изол (каолин)'!L153*0.9</f>
        <v>2167.11</v>
      </c>
      <c r="M153" s="8">
        <f>'50 изол (каолин)'!M153*0.9</f>
        <v>2247.42375</v>
      </c>
    </row>
    <row r="154" ht="19.5" customHeight="1" spans="1:13">
      <c r="A154" s="89" t="s">
        <v>23</v>
      </c>
      <c r="B154" s="8">
        <f>'50 изол (каолин)'!B154*0.9</f>
        <v>3443.9625</v>
      </c>
      <c r="C154" s="8">
        <f>'50 изол (каолин)'!C154*0.9</f>
        <v>3644.06625</v>
      </c>
      <c r="D154" s="88">
        <f>'50 изол (каолин)'!D154*0.9</f>
        <v>3845.53125</v>
      </c>
      <c r="E154" s="8">
        <f>'50 изол (каолин)'!E154*0.9</f>
        <v>4060.60875</v>
      </c>
      <c r="F154" s="8">
        <f>'50 изол (каолин)'!F154*0.9</f>
        <v>4128.67125</v>
      </c>
      <c r="G154" s="88">
        <f>'50 изол (каолин)'!G154*0.9</f>
        <v>4332.85875</v>
      </c>
      <c r="H154" s="8">
        <f>'50 изол (каолин)'!H154*0.9</f>
        <v>4696.3125</v>
      </c>
      <c r="I154" s="8">
        <f>'50 изол (каолин)'!I154*0.9</f>
        <v>5240.8125</v>
      </c>
      <c r="J154" s="88">
        <f>'50 изол (каолин)'!J154*0.9</f>
        <v>6173.26875</v>
      </c>
      <c r="K154" s="8">
        <f>'50 изол (каолин)'!K154*0.9</f>
        <v>7564.46625</v>
      </c>
      <c r="L154" s="8">
        <f>'50 изол (каолин)'!L154*0.9</f>
        <v>8398.9125</v>
      </c>
      <c r="M154" s="8">
        <f>'50 изол (каолин)'!M154*0.9</f>
        <v>8955.66375</v>
      </c>
    </row>
    <row r="155" ht="19.5" customHeight="1" spans="1:13">
      <c r="A155" s="89" t="s">
        <v>24</v>
      </c>
      <c r="B155" s="8">
        <f>'50 изол (каолин)'!B155*0.9</f>
        <v>3171.7125</v>
      </c>
      <c r="C155" s="8">
        <f>'50 изол (каолин)'!C155*0.9</f>
        <v>3371.81625</v>
      </c>
      <c r="D155" s="88">
        <f>'50 изол (каолин)'!D155*0.9</f>
        <v>3573.28125</v>
      </c>
      <c r="E155" s="8">
        <f>'50 изол (каолин)'!E155*0.9</f>
        <v>3788.35875</v>
      </c>
      <c r="F155" s="8">
        <f>'50 изол (каолин)'!F155*0.9</f>
        <v>3856.42125</v>
      </c>
      <c r="G155" s="88">
        <f>'50 изол (каолин)'!G155*0.9</f>
        <v>4060.60875</v>
      </c>
      <c r="H155" s="8">
        <f>'50 изол (каолин)'!H155*0.9</f>
        <v>4424.0625</v>
      </c>
      <c r="I155" s="8">
        <f>'50 изол (каолин)'!I155*0.9</f>
        <v>4968.5625</v>
      </c>
      <c r="J155" s="88">
        <f>'50 изол (каолин)'!J155*0.9</f>
        <v>5901.01875</v>
      </c>
      <c r="K155" s="8">
        <f>'50 изол (каолин)'!K155*0.9</f>
        <v>7292.21625</v>
      </c>
      <c r="L155" s="8">
        <f>'50 изол (каолин)'!L155*0.9</f>
        <v>8126.6625</v>
      </c>
      <c r="M155" s="8">
        <f>'50 изол (каолин)'!M155*0.9</f>
        <v>8683.41375</v>
      </c>
    </row>
    <row r="156" ht="19.5" customHeight="1" spans="1:13">
      <c r="A156" s="89" t="s">
        <v>26</v>
      </c>
      <c r="B156" s="8">
        <f>'50 изол (каолин)'!B156*0.9</f>
        <v>4915.47375</v>
      </c>
      <c r="C156" s="8">
        <f>'50 изол (каолин)'!C156*0.9</f>
        <v>5108.77125</v>
      </c>
      <c r="D156" s="88">
        <f>'50 изол (каолин)'!D156*0.9</f>
        <v>5400.07875</v>
      </c>
      <c r="E156" s="8">
        <f>'50 изол (каолин)'!E156*0.9</f>
        <v>5939.13375</v>
      </c>
      <c r="F156" s="8">
        <f>'50 изол (каолин)'!F156*0.9</f>
        <v>6189.60375</v>
      </c>
      <c r="G156" s="88">
        <f>'50 изол (каолин)'!G156*0.9</f>
        <v>6617.03625</v>
      </c>
      <c r="H156" s="8">
        <f>'50 изол (каолин)'!H156*0.9</f>
        <v>7002.27</v>
      </c>
      <c r="I156" s="8">
        <f>'50 изол (каолин)'!I156*0.9</f>
        <v>7814.93625</v>
      </c>
      <c r="J156" s="88">
        <f>'50 изол (каолин)'!J156*0.9</f>
        <v>8351.26875</v>
      </c>
      <c r="K156" s="8">
        <f>'50 изол (каолин)'!K156*0.9</f>
        <v>10311.46875</v>
      </c>
      <c r="L156" s="8">
        <f>'50 изол (каолин)'!L156*0.9</f>
        <v>11487.58875</v>
      </c>
      <c r="M156" s="8">
        <f>'50 изол (каолин)'!M156*0.9</f>
        <v>12271.66875</v>
      </c>
    </row>
    <row r="157" ht="19.5" customHeight="1" spans="1:13">
      <c r="A157" s="89" t="s">
        <v>27</v>
      </c>
      <c r="B157" s="8">
        <f>'50 изол (каолин)'!B157*0.9</f>
        <v>6369.28875</v>
      </c>
      <c r="C157" s="8">
        <f>'50 изол (каолин)'!C157*0.9</f>
        <v>6544.89</v>
      </c>
      <c r="D157" s="88">
        <f>'50 изол (каолин)'!D157*0.9</f>
        <v>6825.3075</v>
      </c>
      <c r="E157" s="8">
        <f>'50 изол (каолин)'!E157*0.9</f>
        <v>7446.0375</v>
      </c>
      <c r="F157" s="8">
        <f>'50 изол (каолин)'!F157*0.9</f>
        <v>7681.53375</v>
      </c>
      <c r="G157" s="88">
        <f>'50 изол (каолин)'!G157*0.9</f>
        <v>8522.78625</v>
      </c>
      <c r="H157" s="8">
        <f>'50 изол (каолин)'!H157*0.9</f>
        <v>9222.46875</v>
      </c>
      <c r="I157" s="8">
        <f>'50 изол (каолин)'!I157*0.9</f>
        <v>10032.4125</v>
      </c>
      <c r="J157" s="88">
        <f>'50 изол (каолин)'!J157*0.9</f>
        <v>11712.195</v>
      </c>
      <c r="K157" s="8">
        <f>'50 изол (каолин)'!K157*0.9</f>
        <v>13720.03875</v>
      </c>
      <c r="L157" s="8">
        <f>'50 изол (каолин)'!L157*0.9</f>
        <v>14924.745</v>
      </c>
      <c r="M157" s="8">
        <f>'50 изол (каолин)'!M157*0.9</f>
        <v>15647.56875</v>
      </c>
    </row>
    <row r="158" ht="19.5" customHeight="1" spans="1:13">
      <c r="A158" s="89" t="s">
        <v>70</v>
      </c>
      <c r="B158" s="8">
        <f>'50 изол (каолин)'!B158*0.9</f>
        <v>11827.90125</v>
      </c>
      <c r="C158" s="8">
        <f>'50 изол (каолин)'!C158*0.9</f>
        <v>12196.8</v>
      </c>
      <c r="D158" s="88">
        <f>'50 изол (каолин)'!D158*0.9</f>
        <v>12507.165</v>
      </c>
      <c r="E158" s="8">
        <f>'50 изол (каолин)'!E158*0.9</f>
        <v>12854.28375</v>
      </c>
      <c r="F158" s="8">
        <f>'50 изол (каолин)'!F158*0.9</f>
        <v>13244.9625</v>
      </c>
      <c r="G158" s="88">
        <f>'50 изол (каолин)'!G158*0.9</f>
        <v>14133.85875</v>
      </c>
      <c r="H158" s="8">
        <f>'50 изол (каолин)'!H158*0.9</f>
        <v>14604.85125</v>
      </c>
      <c r="I158" s="8">
        <f>'50 изол (каолин)'!I158*0.9</f>
        <v>15620.34375</v>
      </c>
      <c r="J158" s="88">
        <f>'50 изол (каолин)'!J158*0.9</f>
        <v>17517.92625</v>
      </c>
      <c r="K158" s="8">
        <f>'50 изол (каолин)'!K158*0.9</f>
        <v>20656.96875</v>
      </c>
      <c r="L158" s="8">
        <f>'50 изол (каолин)'!L158*0.9</f>
        <v>22540.93875</v>
      </c>
      <c r="M158" s="8">
        <f>'50 изол (каолин)'!M158*0.9</f>
        <v>13884.75</v>
      </c>
    </row>
    <row r="159" ht="19.5" customHeight="1" spans="1:13">
      <c r="A159" s="89" t="s">
        <v>71</v>
      </c>
      <c r="B159" s="8">
        <f>'50 изол (каолин)'!B159*0.9</f>
        <v>1343.55375</v>
      </c>
      <c r="C159" s="8">
        <f>'50 изол (каолин)'!C159*0.9</f>
        <v>1372.14</v>
      </c>
      <c r="D159" s="88">
        <f>'50 изол (каолин)'!D159*0.9</f>
        <v>1470.15</v>
      </c>
      <c r="E159" s="8">
        <f>'50 изол (каолин)'!E159*0.9</f>
        <v>1629.41625</v>
      </c>
      <c r="F159" s="8">
        <f>'50 изол (каолин)'!F159*0.9</f>
        <v>1750.5675</v>
      </c>
      <c r="G159" s="88">
        <f>'50 изол (каолин)'!G159*0.9</f>
        <v>1856.745</v>
      </c>
      <c r="H159" s="8">
        <f>'50 изол (каолин)'!H159*0.9</f>
        <v>2016.01125</v>
      </c>
      <c r="I159" s="8">
        <f>'50 изол (каолин)'!I159*0.9</f>
        <v>2082.7125</v>
      </c>
      <c r="J159" s="88">
        <f>'50 изол (каолин)'!J159*0.9</f>
        <v>2327.7375</v>
      </c>
      <c r="K159" s="8">
        <f>'50 изол (каолин)'!K159*0.9</f>
        <v>2663.96625</v>
      </c>
      <c r="L159" s="8">
        <f>'50 изол (каолин)'!L159*0.9</f>
        <v>2865.43125</v>
      </c>
      <c r="M159" s="8">
        <f>'50 изол (каолин)'!M159*0.9</f>
        <v>2985.22125</v>
      </c>
    </row>
    <row r="160" ht="19.5" customHeight="1" spans="1:13">
      <c r="A160" s="89" t="s">
        <v>72</v>
      </c>
      <c r="B160" s="8">
        <f>'50 изол (каолин)'!B160*0.9</f>
        <v>4004.7975</v>
      </c>
      <c r="C160" s="8">
        <f>'50 изол (каолин)'!C160*0.9</f>
        <v>4125.94875</v>
      </c>
      <c r="D160" s="88">
        <f>'50 изол (каолин)'!D160*0.9</f>
        <v>4176.315</v>
      </c>
      <c r="E160" s="8">
        <f>'50 изол (каолин)'!E160*0.9</f>
        <v>4336.9425</v>
      </c>
      <c r="F160" s="8">
        <f>'50 изол (каолин)'!F160*0.9</f>
        <v>4479.87375</v>
      </c>
      <c r="G160" s="88">
        <f>'50 изол (каолин)'!G160*0.9</f>
        <v>4822.90875</v>
      </c>
      <c r="H160" s="8">
        <f>'50 изол (каолин)'!H160*0.9</f>
        <v>4982.175</v>
      </c>
      <c r="I160" s="8">
        <f>'50 изол (каолин)'!I160*0.9</f>
        <v>5330.655</v>
      </c>
      <c r="J160" s="88">
        <f>'50 изол (каолин)'!J160*0.9</f>
        <v>5984.055</v>
      </c>
      <c r="K160" s="8">
        <f>'50 изол (каолин)'!K160*0.9</f>
        <v>7218.70875</v>
      </c>
      <c r="L160" s="8">
        <f>'50 изол (каолин)'!L160*0.9</f>
        <v>7959.22875</v>
      </c>
      <c r="M160" s="8">
        <f>'50 изол (каолин)'!M160*0.9</f>
        <v>8404.3575</v>
      </c>
    </row>
    <row r="161" ht="19.5" customHeight="1" spans="1:14">
      <c r="A161" s="89" t="s">
        <v>73</v>
      </c>
      <c r="B161" s="8">
        <f>'50 изол (каолин)'!B161*0.9</f>
        <v>1510.9875</v>
      </c>
      <c r="C161" s="8">
        <f>'50 изол (каолин)'!C161*0.9</f>
        <v>1559.9925</v>
      </c>
      <c r="D161" s="88">
        <f>'50 изол (каолин)'!D161*0.9</f>
        <v>1652.5575</v>
      </c>
      <c r="E161" s="8">
        <f>'50 изол (каолин)'!E161*0.9</f>
        <v>1829.52</v>
      </c>
      <c r="F161" s="8">
        <f>'50 изол (каолин)'!F161*0.9</f>
        <v>1903.0275</v>
      </c>
      <c r="G161" s="88">
        <f>'50 изол (каолин)'!G161*0.9</f>
        <v>2119.46625</v>
      </c>
      <c r="H161" s="8">
        <f>'50 изол (каолин)'!H161*0.9</f>
        <v>2314.125</v>
      </c>
      <c r="I161" s="8">
        <f>'50 изол (каолин)'!I161*0.9</f>
        <v>2648.9925</v>
      </c>
      <c r="J161" s="88">
        <f>'50 изол (каолин)'!J161*0.9</f>
        <v>2866.7925</v>
      </c>
      <c r="K161" s="8">
        <f>'50 изол (каолин)'!K161*0.9</f>
        <v>3393.59625</v>
      </c>
      <c r="L161" s="8">
        <f>'50 изол (каолин)'!L161*0.9</f>
        <v>3709.40625</v>
      </c>
      <c r="M161" s="8">
        <f>'50 изол (каолин)'!M161*0.9</f>
        <v>3899.98125</v>
      </c>
    </row>
    <row r="162" ht="19.5" customHeight="1" spans="1:14">
      <c r="A162" s="89" t="s">
        <v>74</v>
      </c>
      <c r="B162" s="8">
        <f>'50 изол (каолин)'!B162*0.9</f>
        <v>1990.1475</v>
      </c>
      <c r="C162" s="8">
        <f>'50 изол (каолин)'!C162*0.9</f>
        <v>2059.57125</v>
      </c>
      <c r="D162" s="88">
        <f>'50 изол (каолин)'!D162*0.9</f>
        <v>2300.5125</v>
      </c>
      <c r="E162" s="8">
        <f>'50 изол (каолин)'!E162*0.9</f>
        <v>2357.685</v>
      </c>
      <c r="F162" s="8">
        <f>'50 изол (каолин)'!F162*0.9</f>
        <v>2518.3125</v>
      </c>
      <c r="G162" s="88">
        <f>'50 изол (каолин)'!G162*0.9</f>
        <v>2903.54625</v>
      </c>
      <c r="H162" s="8">
        <f>'50 изол (каолин)'!H162*0.9</f>
        <v>3047.83875</v>
      </c>
      <c r="I162" s="8">
        <f>'50 изол (каолин)'!I162*0.9</f>
        <v>3347.31375</v>
      </c>
      <c r="J162" s="88">
        <f>'50 изол (каолин)'!J162*0.9</f>
        <v>3588.255</v>
      </c>
      <c r="K162" s="8">
        <f>'50 изол (каолин)'!K162*0.9</f>
        <v>4368.25125</v>
      </c>
      <c r="L162" s="8">
        <f>'50 изол (каолин)'!L162*0.9</f>
        <v>4836.52125</v>
      </c>
      <c r="M162" s="8">
        <f>'50 изол (каолин)'!M162*0.9</f>
        <v>5116.93875</v>
      </c>
    </row>
    <row r="163" ht="19.5" customHeight="1" spans="1:14">
      <c r="A163" s="35"/>
      <c r="B163" s="35"/>
      <c r="C163" s="35"/>
      <c r="D163" s="49"/>
      <c r="E163" s="35"/>
      <c r="F163" s="35"/>
      <c r="G163" s="49"/>
      <c r="H163" s="35"/>
      <c r="I163" s="35"/>
      <c r="J163" s="49"/>
      <c r="K163" s="35"/>
      <c r="L163" s="35"/>
      <c r="M163" s="35"/>
    </row>
    <row r="164" ht="19.5" customHeight="1" spans="1:14">
      <c r="A164" s="82" t="s">
        <v>35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5"/>
    </row>
    <row r="165" ht="19.5" customHeight="1" spans="1:14">
      <c r="A165" s="35"/>
      <c r="B165" s="35"/>
      <c r="C165" s="35"/>
      <c r="D165" s="49"/>
      <c r="E165" s="35"/>
      <c r="F165" s="35"/>
      <c r="G165" s="49"/>
      <c r="H165" s="35"/>
      <c r="I165" s="35"/>
      <c r="J165" s="49"/>
      <c r="K165" s="83" t="s">
        <v>127</v>
      </c>
    </row>
    <row r="166" ht="19.5" customHeight="1" spans="1:14">
      <c r="A166" s="35"/>
      <c r="B166" s="35"/>
      <c r="C166" s="35"/>
      <c r="D166" s="49"/>
      <c r="E166" s="35"/>
      <c r="F166" s="35"/>
      <c r="G166" s="49"/>
      <c r="H166" s="35"/>
      <c r="I166" s="35"/>
      <c r="J166" s="49"/>
    </row>
    <row r="167" ht="19.5" customHeight="1" spans="1:14">
      <c r="A167" s="92" t="s">
        <v>121</v>
      </c>
    </row>
    <row r="168" ht="19.5" customHeight="1" spans="1:14">
      <c r="A168" s="92" t="s">
        <v>101</v>
      </c>
      <c r="K168" s="35"/>
      <c r="L168" s="35"/>
      <c r="M168" s="35"/>
    </row>
    <row r="169" ht="19.5" customHeight="1" spans="1:14">
      <c r="A169" s="85" t="s">
        <v>128</v>
      </c>
    </row>
    <row r="170" ht="27" customHeight="1" spans="1:14">
      <c r="A170" s="17"/>
      <c r="B170" s="86" t="s">
        <v>129</v>
      </c>
      <c r="C170" s="86" t="s">
        <v>130</v>
      </c>
      <c r="D170" s="86" t="s">
        <v>131</v>
      </c>
      <c r="E170" s="86" t="s">
        <v>132</v>
      </c>
      <c r="F170" s="86" t="s">
        <v>133</v>
      </c>
      <c r="G170" s="86" t="s">
        <v>134</v>
      </c>
      <c r="H170" s="86" t="s">
        <v>135</v>
      </c>
      <c r="I170" s="86" t="s">
        <v>136</v>
      </c>
      <c r="J170" s="86" t="s">
        <v>137</v>
      </c>
      <c r="K170" s="86" t="s">
        <v>138</v>
      </c>
      <c r="L170" s="86" t="s">
        <v>139</v>
      </c>
      <c r="M170" s="86" t="s">
        <v>140</v>
      </c>
    </row>
    <row r="171" ht="19.5" customHeight="1" spans="1:14">
      <c r="A171" s="89" t="s">
        <v>68</v>
      </c>
      <c r="B171" s="8">
        <f>'50 изол (каолин)'!B171*0.9</f>
        <v>3607.3125</v>
      </c>
      <c r="C171" s="8">
        <f>'50 изол (каолин)'!C171*0.9</f>
        <v>3784.275</v>
      </c>
      <c r="D171" s="88">
        <f>'50 изол (каолин)'!D171*0.9</f>
        <v>4108.2525</v>
      </c>
      <c r="E171" s="8">
        <f>'50 изол (каолин)'!E171*0.9</f>
        <v>4588.77375</v>
      </c>
      <c r="F171" s="8">
        <f>'50 изол (каолин)'!F171*0.9</f>
        <v>4764.375</v>
      </c>
      <c r="G171" s="88">
        <f>'50 изол (каолин)'!G171*0.9</f>
        <v>4889.61</v>
      </c>
      <c r="H171" s="8">
        <f>'50 изол (каолин)'!H171*0.9</f>
        <v>5926.8825</v>
      </c>
      <c r="I171" s="8">
        <f>'50 изол (каолин)'!I171*0.9</f>
        <v>6223.635</v>
      </c>
      <c r="J171" s="88">
        <f>'50 изол (каолин)'!J171*0.9</f>
        <v>6528.555</v>
      </c>
      <c r="K171" s="8">
        <f>'50 изол (каолин)'!K171*0.9</f>
        <v>8303.625</v>
      </c>
      <c r="L171" s="8">
        <f>'50 изол (каолин)'!L171*0.9</f>
        <v>9368.1225</v>
      </c>
      <c r="M171" s="8">
        <f>'50 изол (каолин)'!M171*0.9</f>
        <v>10078.695</v>
      </c>
    </row>
    <row r="172" ht="19.5" customHeight="1" spans="1:14">
      <c r="A172" s="89" t="s">
        <v>18</v>
      </c>
      <c r="B172" s="8">
        <f>'50 изол (каолин)'!B172*0.9</f>
        <v>2994.75</v>
      </c>
      <c r="C172" s="8">
        <f>'50 изол (каолин)'!C172*0.9</f>
        <v>3189.40875</v>
      </c>
      <c r="D172" s="88">
        <f>'50 изол (каолин)'!D172*0.9</f>
        <v>3495.69</v>
      </c>
      <c r="E172" s="8">
        <f>'50 изол (каолин)'!E172*0.9</f>
        <v>3947.625</v>
      </c>
      <c r="F172" s="8">
        <f>'50 изол (каолин)'!F172*0.9</f>
        <v>4083.75</v>
      </c>
      <c r="G172" s="88">
        <f>'50 изол (каолин)'!G172*0.9</f>
        <v>4206.2625</v>
      </c>
      <c r="H172" s="8">
        <f>'50 изол (каолин)'!H172*0.9</f>
        <v>5042.07</v>
      </c>
      <c r="I172" s="8">
        <f>'50 изол (каолин)'!I172*0.9</f>
        <v>5308.875</v>
      </c>
      <c r="J172" s="88">
        <f>'50 изол (каолин)'!J172*0.9</f>
        <v>5507.6175</v>
      </c>
      <c r="K172" s="8">
        <f>'50 изол (каолин)'!K172*0.9</f>
        <v>7078.5</v>
      </c>
      <c r="L172" s="8">
        <f>'50 изол (каолин)'!L172*0.9</f>
        <v>8020.485</v>
      </c>
      <c r="M172" s="8">
        <f>'50 изол (каолин)'!M172*0.9</f>
        <v>8649.3825</v>
      </c>
    </row>
    <row r="173" ht="19.5" customHeight="1" spans="1:14">
      <c r="A173" s="89" t="s">
        <v>19</v>
      </c>
      <c r="B173" s="8">
        <f>'50 изол (каолин)'!B173*0.9</f>
        <v>2485.6425</v>
      </c>
      <c r="C173" s="8">
        <f>'50 изол (каолин)'!C173*0.9</f>
        <v>2586.375</v>
      </c>
      <c r="D173" s="88">
        <f>'50 изол (каолин)'!D173*0.9</f>
        <v>2858.625</v>
      </c>
      <c r="E173" s="8">
        <f>'50 изол (каолин)'!E173*0.9</f>
        <v>3181.24125</v>
      </c>
      <c r="F173" s="8">
        <f>'50 изол (каолин)'!F173*0.9</f>
        <v>3335.0625</v>
      </c>
      <c r="G173" s="88">
        <f>'50 изол (каолин)'!G173*0.9</f>
        <v>3403.125</v>
      </c>
      <c r="H173" s="8">
        <f>'50 изол (каолин)'!H173*0.9</f>
        <v>4157.2575</v>
      </c>
      <c r="I173" s="8">
        <f>'50 изол (каолин)'!I173*0.9</f>
        <v>4380.5025</v>
      </c>
      <c r="J173" s="88">
        <f>'50 изол (каолин)'!J173*0.9</f>
        <v>4549.2975</v>
      </c>
      <c r="K173" s="8">
        <f>'50 изол (каолин)'!K173*0.9</f>
        <v>5945.94</v>
      </c>
      <c r="L173" s="8">
        <f>'50 изол (каолин)'!L173*0.9</f>
        <v>6784.47</v>
      </c>
      <c r="M173" s="8">
        <f>'50 изол (каолин)'!M173*0.9</f>
        <v>7342.5825</v>
      </c>
    </row>
    <row r="174" ht="19.5" customHeight="1" spans="1:14">
      <c r="A174" s="89" t="s">
        <v>20</v>
      </c>
      <c r="B174" s="8">
        <f>'50 изол (каолин)'!B174*0.9</f>
        <v>2003.76</v>
      </c>
      <c r="C174" s="8">
        <f>'50 изол (каолин)'!C174*0.9</f>
        <v>2044.5975</v>
      </c>
      <c r="D174" s="88">
        <f>'50 изол (каолин)'!D174*0.9</f>
        <v>2262.3975</v>
      </c>
      <c r="E174" s="8">
        <f>'50 изол (каолин)'!E174*0.9</f>
        <v>2670.7725</v>
      </c>
      <c r="F174" s="8">
        <f>'50 изол (каолин)'!F174*0.9</f>
        <v>2767.42125</v>
      </c>
      <c r="G174" s="88">
        <f>'50 изол (каолин)'!G174*0.9</f>
        <v>2858.625</v>
      </c>
      <c r="H174" s="8">
        <f>'50 изол (каолин)'!H174*0.9</f>
        <v>3253.3875</v>
      </c>
      <c r="I174" s="8">
        <f>'50 изол (каолин)'!I174*0.9</f>
        <v>3505.21875</v>
      </c>
      <c r="J174" s="88">
        <f>'50 изол (каолин)'!J174*0.9</f>
        <v>4012.965</v>
      </c>
      <c r="K174" s="8">
        <f>'50 изол (каолин)'!K174*0.9</f>
        <v>4714.00875</v>
      </c>
      <c r="L174" s="8">
        <f>'50 изол (каолин)'!L174*0.9</f>
        <v>5134.635</v>
      </c>
      <c r="M174" s="8">
        <f>'50 изол (каолин)'!M174*0.9</f>
        <v>5386.46625</v>
      </c>
    </row>
    <row r="175" ht="19.5" customHeight="1" spans="1:14">
      <c r="A175" s="89" t="s">
        <v>21</v>
      </c>
      <c r="B175" s="8">
        <f>'50 изол (каолин)'!B175*0.9</f>
        <v>1633.5</v>
      </c>
      <c r="C175" s="8">
        <f>'50 изол (каолин)'!C175*0.9</f>
        <v>1772.3475</v>
      </c>
      <c r="D175" s="88">
        <f>'50 изол (каолин)'!D175*0.9</f>
        <v>1905.75</v>
      </c>
      <c r="E175" s="8">
        <f>'50 изол (каолин)'!E175*0.9</f>
        <v>2073.18375</v>
      </c>
      <c r="F175" s="8">
        <f>'50 изол (каолин)'!F175*0.9</f>
        <v>2263.75875</v>
      </c>
      <c r="G175" s="88">
        <f>'50 изол (каолин)'!G175*0.9</f>
        <v>2489.72625</v>
      </c>
      <c r="H175" s="8">
        <f>'50 изол (каолин)'!H175*0.9</f>
        <v>2559.15</v>
      </c>
      <c r="I175" s="8">
        <f>'50 изол (каолин)'!I175*0.9</f>
        <v>2738.835</v>
      </c>
      <c r="J175" s="88">
        <f>'50 изол (каолин)'!J175*0.9</f>
        <v>3110.45625</v>
      </c>
      <c r="K175" s="8">
        <f>'50 изол (каолин)'!K175*0.9</f>
        <v>3619.56375</v>
      </c>
      <c r="L175" s="8">
        <f>'50 изол (каолин)'!L175*0.9</f>
        <v>3924.48375</v>
      </c>
      <c r="M175" s="8">
        <f>'50 изол (каолин)'!M175*0.9</f>
        <v>4108.2525</v>
      </c>
    </row>
    <row r="176" ht="19.5" customHeight="1" spans="1:14">
      <c r="A176" s="89" t="s">
        <v>22</v>
      </c>
      <c r="B176" s="8">
        <f>'50 изол (каолин)'!B176*0.9</f>
        <v>1410.255</v>
      </c>
      <c r="C176" s="8">
        <f>'50 изол (каолин)'!C176*0.9</f>
        <v>1466.06625</v>
      </c>
      <c r="D176" s="88">
        <f>'50 изол (каолин)'!D176*0.9</f>
        <v>1629.41625</v>
      </c>
      <c r="E176" s="8">
        <f>'50 изол (каолин)'!E176*0.9</f>
        <v>1668.8925</v>
      </c>
      <c r="F176" s="8">
        <f>'50 изол (каолин)'!F176*0.9</f>
        <v>1783.2375</v>
      </c>
      <c r="G176" s="88">
        <f>'50 изол (каолин)'!G176*0.9</f>
        <v>1851.3</v>
      </c>
      <c r="H176" s="8">
        <f>'50 изол (каолин)'!H176*0.9</f>
        <v>1888.05375</v>
      </c>
      <c r="I176" s="8">
        <f>'50 изол (каолин)'!I176*0.9</f>
        <v>1990.1475</v>
      </c>
      <c r="J176" s="88">
        <f>'50 изол (каолин)'!J176*0.9</f>
        <v>2217.47625</v>
      </c>
      <c r="K176" s="8">
        <f>'50 изол (каолин)'!K176*0.9</f>
        <v>2526.48</v>
      </c>
      <c r="L176" s="8">
        <f>'50 изол (каолин)'!L176*0.9</f>
        <v>2711.61</v>
      </c>
      <c r="M176" s="8">
        <f>'50 изол (каолин)'!M176*0.9</f>
        <v>2823.2325</v>
      </c>
    </row>
    <row r="177" ht="19.5" customHeight="1" spans="1:14">
      <c r="A177" s="89" t="s">
        <v>23</v>
      </c>
      <c r="B177" s="8">
        <f>'50 изол (каолин)'!B177*0.9</f>
        <v>3823.75125</v>
      </c>
      <c r="C177" s="8">
        <f>'50 изол (каолин)'!C177*0.9</f>
        <v>4181.76</v>
      </c>
      <c r="D177" s="88">
        <f>'50 изол (каолин)'!D177*0.9</f>
        <v>4675.89375</v>
      </c>
      <c r="E177" s="8">
        <f>'50 изол (каолин)'!E177*0.9</f>
        <v>5055.6825</v>
      </c>
      <c r="F177" s="8">
        <f>'50 изол (каолин)'!F177*0.9</f>
        <v>5559.345</v>
      </c>
      <c r="G177" s="88">
        <f>'50 изол (каолин)'!G177*0.9</f>
        <v>6222.27375</v>
      </c>
      <c r="H177" s="8">
        <f>'50 изол (каолин)'!H177*0.9</f>
        <v>6890.6475</v>
      </c>
      <c r="I177" s="8">
        <f>'50 изол (каолин)'!I177*0.9</f>
        <v>7132.95</v>
      </c>
      <c r="J177" s="88">
        <f>'50 изол (каолин)'!J177*0.9</f>
        <v>8025.93</v>
      </c>
      <c r="K177" s="8">
        <f>'50 изол (каолин)'!K177*0.9</f>
        <v>10387.69875</v>
      </c>
      <c r="L177" s="8">
        <f>'50 изол (каолин)'!L177*0.9</f>
        <v>11804.76</v>
      </c>
      <c r="M177" s="8">
        <f>'50 изол (каолин)'!M177*0.9</f>
        <v>12749.4675</v>
      </c>
    </row>
    <row r="178" ht="19.5" customHeight="1" spans="1:14">
      <c r="A178" s="89" t="s">
        <v>24</v>
      </c>
      <c r="B178" s="8">
        <f>'50 изол (каолин)'!B178*0.9</f>
        <v>3551.50125</v>
      </c>
      <c r="C178" s="8">
        <f>'50 изол (каолин)'!C178*0.9</f>
        <v>3909.51</v>
      </c>
      <c r="D178" s="88">
        <f>'50 изол (каолин)'!D178*0.9</f>
        <v>4403.64375</v>
      </c>
      <c r="E178" s="8">
        <f>'50 изол (каолин)'!E178*0.9</f>
        <v>4783.4325</v>
      </c>
      <c r="F178" s="8">
        <f>'50 изол (каолин)'!F178*0.9</f>
        <v>5287.095</v>
      </c>
      <c r="G178" s="88">
        <f>'50 изол (каолин)'!G178*0.9</f>
        <v>5950.02375</v>
      </c>
      <c r="H178" s="8">
        <f>'50 изол (каолин)'!H178*0.9</f>
        <v>6618.3975</v>
      </c>
      <c r="I178" s="8">
        <f>'50 изол (каолин)'!I178*0.9</f>
        <v>6860.7</v>
      </c>
      <c r="J178" s="88">
        <f>'50 изол (каолин)'!J178*0.9</f>
        <v>7753.68</v>
      </c>
      <c r="K178" s="8">
        <f>'50 изол (каолин)'!K178*0.9</f>
        <v>10115.44875</v>
      </c>
      <c r="L178" s="8">
        <f>'50 изол (каолин)'!L178*0.9</f>
        <v>11532.51</v>
      </c>
      <c r="M178" s="8">
        <f>'50 изол (каолин)'!M178*0.9</f>
        <v>12477.2175</v>
      </c>
    </row>
    <row r="179" ht="19.5" customHeight="1" spans="1:14">
      <c r="A179" s="89" t="s">
        <v>26</v>
      </c>
      <c r="B179" s="8">
        <f>'50 изол (каолин)'!B179*0.9</f>
        <v>5515.785</v>
      </c>
      <c r="C179" s="8">
        <f>'50 изол (каолин)'!C179*0.9</f>
        <v>5933.68875</v>
      </c>
      <c r="D179" s="88">
        <f>'50 изол (каолин)'!D179*0.9</f>
        <v>6425.1</v>
      </c>
      <c r="E179" s="8">
        <f>'50 изол (каолин)'!E179*0.9</f>
        <v>6951.90375</v>
      </c>
      <c r="F179" s="8">
        <f>'50 изол (каолин)'!F179*0.9</f>
        <v>7294.93875</v>
      </c>
      <c r="G179" s="88">
        <f>'50 изол (каолин)'!G179*0.9</f>
        <v>7862.58</v>
      </c>
      <c r="H179" s="8">
        <f>'50 изол (каолин)'!H179*0.9</f>
        <v>8200.17</v>
      </c>
      <c r="I179" s="8">
        <f>'50 изол (каолин)'!I179*0.9</f>
        <v>8962.47</v>
      </c>
      <c r="J179" s="88">
        <f>'50 изол (каолин)'!J179*0.9</f>
        <v>10052.83125</v>
      </c>
      <c r="K179" s="8">
        <f>'50 изол (каолин)'!K179*0.9</f>
        <v>11310.62625</v>
      </c>
      <c r="L179" s="8">
        <f>'50 изол (каолин)'!L179*0.9</f>
        <v>12621.51</v>
      </c>
      <c r="M179" s="8">
        <f>'50 изол (каолин)'!M179*0.9</f>
        <v>13566.2175</v>
      </c>
    </row>
    <row r="180" ht="19.5" customHeight="1" spans="1:14">
      <c r="A180" s="89" t="s">
        <v>27</v>
      </c>
      <c r="B180" s="8">
        <f>'50 изол (каолин)'!B180*0.9</f>
        <v>7341.22125</v>
      </c>
      <c r="C180" s="8">
        <f>'50 изол (каолин)'!C180*0.9</f>
        <v>7789.0725</v>
      </c>
      <c r="D180" s="88">
        <f>'50 изол (каолин)'!D180*0.9</f>
        <v>8042.265</v>
      </c>
      <c r="E180" s="8">
        <f>'50 изол (каолин)'!E180*0.9</f>
        <v>8528.23125</v>
      </c>
      <c r="F180" s="8">
        <f>'50 изол (каолин)'!F180*0.9</f>
        <v>8916.1875</v>
      </c>
      <c r="G180" s="88">
        <f>'50 изол (каолин)'!G180*0.9</f>
        <v>9859.53375</v>
      </c>
      <c r="H180" s="8">
        <f>'50 изол (каолин)'!H180*0.9</f>
        <v>10470.735</v>
      </c>
      <c r="I180" s="8">
        <f>'50 изол (каолин)'!I180*0.9</f>
        <v>11829.2625</v>
      </c>
      <c r="J180" s="88">
        <f>'50 изол (каолин)'!J180*0.9</f>
        <v>14075.325</v>
      </c>
      <c r="K180" s="8">
        <f>'50 изол (каолин)'!K180*0.9</f>
        <v>17076.88125</v>
      </c>
      <c r="L180" s="8">
        <f>'50 изол (каолин)'!L180*0.9</f>
        <v>18877.815</v>
      </c>
      <c r="M180" s="8">
        <f>'50 изол (каолин)'!M180*0.9</f>
        <v>19958.6475</v>
      </c>
    </row>
    <row r="181" ht="19.5" customHeight="1" spans="1:14">
      <c r="A181" s="89" t="s">
        <v>70</v>
      </c>
      <c r="B181" s="8">
        <f>'50 изол (каолин)'!B181*0.9</f>
        <v>13545.79875</v>
      </c>
      <c r="C181" s="8">
        <f>'50 изол (каолин)'!C181*0.9</f>
        <v>13985.4825</v>
      </c>
      <c r="D181" s="88">
        <f>'50 изол (каолин)'!D181*0.9</f>
        <v>14344.8525</v>
      </c>
      <c r="E181" s="8">
        <f>'50 изол (каолин)'!E181*0.9</f>
        <v>55590.7275</v>
      </c>
      <c r="F181" s="8">
        <f>'50 изол (каолин)'!F181*0.9</f>
        <v>15216.0525</v>
      </c>
      <c r="G181" s="88">
        <f>'50 изол (каолин)'!G181*0.9</f>
        <v>16262.85375</v>
      </c>
      <c r="H181" s="8">
        <f>'50 изол (каолин)'!H181*0.9</f>
        <v>16826.41125</v>
      </c>
      <c r="I181" s="8">
        <f>'50 изол (каолин)'!I181*0.9</f>
        <v>18047.4525</v>
      </c>
      <c r="J181" s="88">
        <f>'50 изол (каолин)'!J181*0.9</f>
        <v>20136.97125</v>
      </c>
      <c r="K181" s="8">
        <f>'50 изол (каолин)'!K181*0.9</f>
        <v>23673.49875</v>
      </c>
      <c r="L181" s="8">
        <f>'50 изол (каолин)'!L181*0.9</f>
        <v>25795.6875</v>
      </c>
      <c r="M181" s="8">
        <f>'50 изол (каолин)'!M181*0.9</f>
        <v>27068.45625</v>
      </c>
    </row>
    <row r="182" ht="19.5" customHeight="1" spans="1:14">
      <c r="A182" s="89" t="s">
        <v>32</v>
      </c>
      <c r="B182" s="8">
        <f>'50 изол (каолин)'!B182*0.9</f>
        <v>1583.13375</v>
      </c>
      <c r="C182" s="8">
        <f>'50 изол (каолин)'!C182*0.9</f>
        <v>1614.4425</v>
      </c>
      <c r="D182" s="88">
        <f>'50 изол (каолин)'!D182*0.9</f>
        <v>1648.47375</v>
      </c>
      <c r="E182" s="8">
        <f>'50 изол (каолин)'!E182*0.9</f>
        <v>1815.9075</v>
      </c>
      <c r="F182" s="8">
        <f>'50 изол (каолин)'!F182*0.9</f>
        <v>1983.34125</v>
      </c>
      <c r="G182" s="88">
        <f>'50 изол (каолин)'!G182*0.9</f>
        <v>2074.545</v>
      </c>
      <c r="H182" s="8">
        <f>'50 изол (каолин)'!H182*0.9</f>
        <v>2246.0625</v>
      </c>
      <c r="I182" s="8">
        <f>'50 изол (каолин)'!I182*0.9</f>
        <v>2318.20875</v>
      </c>
      <c r="J182" s="88">
        <f>'50 изол (каолин)'!J182*0.9</f>
        <v>2556.4275</v>
      </c>
      <c r="K182" s="8">
        <f>'50 изол (каолин)'!K182*0.9</f>
        <v>2843.65125</v>
      </c>
      <c r="L182" s="8">
        <f>'50 изол (каолин)'!L182*0.9</f>
        <v>3016.53</v>
      </c>
      <c r="M182" s="8">
        <f>'50 изол (каолин)'!M182*0.9</f>
        <v>3119.985</v>
      </c>
    </row>
    <row r="183" ht="19.5" customHeight="1" spans="1:14">
      <c r="A183" s="89" t="s">
        <v>81</v>
      </c>
      <c r="B183" s="8">
        <f>'50 изол (каолин)'!B183*0.9</f>
        <v>4485.31875</v>
      </c>
      <c r="C183" s="8">
        <f>'50 изол (каолин)'!C183*0.9</f>
        <v>4633.695</v>
      </c>
      <c r="D183" s="88">
        <f>'50 изол (каолин)'!D183*0.9</f>
        <v>4675.89375</v>
      </c>
      <c r="E183" s="8">
        <f>'50 изол (каолин)'!E183*0.9</f>
        <v>4852.85625</v>
      </c>
      <c r="F183" s="8">
        <f>'50 изол (каолин)'!F183*0.9</f>
        <v>5027.09625</v>
      </c>
      <c r="G183" s="88">
        <f>'50 изол (каолин)'!G183*0.9</f>
        <v>5518.5075</v>
      </c>
      <c r="H183" s="8">
        <f>'50 изол (каолин)'!H183*0.9</f>
        <v>5962.275</v>
      </c>
      <c r="I183" s="8">
        <f>'50 изол (каолин)'!I183*0.9</f>
        <v>6416.9325</v>
      </c>
      <c r="J183" s="88">
        <f>'50 изол (каолин)'!J183*0.9</f>
        <v>7078.5</v>
      </c>
      <c r="K183" s="8">
        <f>'50 изол (каолин)'!K183*0.9</f>
        <v>8888.9625</v>
      </c>
      <c r="L183" s="8">
        <f>'50 изол (каолин)'!L183*0.9</f>
        <v>9975.24</v>
      </c>
      <c r="M183" s="8">
        <f>'50 изол (каолин)'!M183*0.9</f>
        <v>10627.27875</v>
      </c>
    </row>
    <row r="184" ht="19.5" customHeight="1" spans="1:14">
      <c r="A184" s="89" t="s">
        <v>82</v>
      </c>
      <c r="B184" s="8">
        <f>'50 изол (каолин)'!B184*0.9</f>
        <v>5465.41875</v>
      </c>
      <c r="C184" s="8">
        <f>'50 изол (каолин)'!C184*0.9</f>
        <v>5677.77375</v>
      </c>
      <c r="D184" s="88">
        <f>'50 изол (каолин)'!D184*0.9</f>
        <v>5718.61125</v>
      </c>
      <c r="E184" s="8">
        <f>'50 изол (каолин)'!E184*0.9</f>
        <v>5967.72</v>
      </c>
      <c r="F184" s="8">
        <f>'50 изол (каолин)'!F184*0.9</f>
        <v>6214.10625</v>
      </c>
      <c r="G184" s="88">
        <f>'50 изол (каолин)'!G184*0.9</f>
        <v>6695.98875</v>
      </c>
      <c r="H184" s="8">
        <f>'50 изол (каолин)'!H184*0.9</f>
        <v>6955.9875</v>
      </c>
      <c r="I184" s="8">
        <f>'50 изол (каолин)'!I184*0.9</f>
        <v>7511.3775</v>
      </c>
      <c r="J184" s="88">
        <f>'50 изол (каолин)'!J184*0.9</f>
        <v>8378.49375</v>
      </c>
      <c r="K184" s="8">
        <f>'50 изол (каолин)'!K184*0.9</f>
        <v>10271.9925</v>
      </c>
      <c r="L184" s="8">
        <f>'50 изол (каолин)'!L184*0.9</f>
        <v>11408.63625</v>
      </c>
      <c r="M184" s="8">
        <f>'50 изол (каолин)'!M184*0.9</f>
        <v>12089.26125</v>
      </c>
    </row>
    <row r="185" ht="19.5" customHeight="1" spans="1:14">
      <c r="A185" s="89" t="s">
        <v>39</v>
      </c>
      <c r="B185" s="8">
        <f>'50 изол (каолин)'!B185*0.9</f>
        <v>3716.2125</v>
      </c>
      <c r="C185" s="8">
        <f>'50 изол (каолин)'!C185*0.9</f>
        <v>3765.2175</v>
      </c>
      <c r="D185" s="88">
        <f>'50 изол (каолин)'!D185*0.9</f>
        <v>3872.75625</v>
      </c>
      <c r="E185" s="8">
        <f>'50 изол (каолин)'!E185*0.9</f>
        <v>4241.655</v>
      </c>
      <c r="F185" s="8">
        <f>'50 изол (каолин)'!F185*0.9</f>
        <v>4482.59625</v>
      </c>
      <c r="G185" s="88">
        <f>'50 изол (каолин)'!G185*0.9</f>
        <v>4859.6625</v>
      </c>
      <c r="H185" s="8">
        <f>'50 изол (каолин)'!H185*0.9</f>
        <v>4929.08625</v>
      </c>
      <c r="I185" s="8">
        <f>'50 изол (каолин)'!I185*0.9</f>
        <v>5118.3</v>
      </c>
      <c r="J185" s="88">
        <f>'50 изол (каолин)'!J185*0.9</f>
        <v>5530.75875</v>
      </c>
      <c r="K185" s="8">
        <f>'50 изол (каолин)'!K185*0.9</f>
        <v>6467.29875</v>
      </c>
      <c r="L185" s="8">
        <f>'50 изол (каолин)'!L185*0.9</f>
        <v>7029.495</v>
      </c>
      <c r="M185" s="8">
        <f>'50 изол (каолин)'!M185*0.9</f>
        <v>7365.72375</v>
      </c>
    </row>
    <row r="186" ht="19.5" customHeight="1" spans="1:14">
      <c r="A186" s="35"/>
      <c r="B186" s="35"/>
      <c r="C186" s="35"/>
      <c r="D186" s="49"/>
      <c r="E186" s="35"/>
      <c r="F186" s="35"/>
      <c r="G186" s="49"/>
      <c r="H186" s="35"/>
      <c r="I186" s="35"/>
      <c r="J186" s="49"/>
      <c r="K186" s="35"/>
      <c r="L186" s="35"/>
      <c r="M186" s="35"/>
    </row>
    <row r="187" ht="19.5" customHeight="1" spans="1:14">
      <c r="A187" s="82" t="s">
        <v>35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5"/>
    </row>
    <row r="188" ht="19.5" customHeight="1" spans="1:14">
      <c r="A188" s="35"/>
      <c r="B188" s="35"/>
      <c r="C188" s="35"/>
      <c r="D188" s="49"/>
      <c r="E188" s="35"/>
      <c r="F188" s="35"/>
      <c r="G188" s="49"/>
      <c r="H188" s="35"/>
      <c r="I188" s="35"/>
      <c r="J188" s="49"/>
      <c r="K188" s="83" t="s">
        <v>127</v>
      </c>
    </row>
    <row r="189" ht="19.5" customHeight="1" spans="1:14">
      <c r="A189" s="35"/>
      <c r="B189" s="35"/>
      <c r="C189" s="35"/>
      <c r="D189" s="49"/>
      <c r="E189" s="35"/>
      <c r="F189" s="35"/>
      <c r="G189" s="49"/>
      <c r="H189" s="35"/>
      <c r="I189" s="35"/>
      <c r="J189" s="49"/>
    </row>
    <row r="190" ht="19.5" customHeight="1" spans="1:14">
      <c r="A190" s="92" t="s">
        <v>120</v>
      </c>
    </row>
    <row r="191" ht="19.5" customHeight="1" spans="1:14">
      <c r="A191" s="92" t="s">
        <v>118</v>
      </c>
      <c r="K191" s="35"/>
      <c r="L191" s="35"/>
      <c r="M191" s="35"/>
    </row>
    <row r="192" ht="19.5" customHeight="1" spans="1:14">
      <c r="A192" s="85" t="s">
        <v>128</v>
      </c>
    </row>
    <row r="193" ht="27" customHeight="1" spans="1:13">
      <c r="A193" s="17"/>
      <c r="B193" s="86" t="s">
        <v>129</v>
      </c>
      <c r="C193" s="86" t="s">
        <v>130</v>
      </c>
      <c r="D193" s="86" t="s">
        <v>131</v>
      </c>
      <c r="E193" s="86" t="s">
        <v>132</v>
      </c>
      <c r="F193" s="86" t="s">
        <v>133</v>
      </c>
      <c r="G193" s="86" t="s">
        <v>134</v>
      </c>
      <c r="H193" s="86" t="s">
        <v>135</v>
      </c>
      <c r="I193" s="86" t="s">
        <v>136</v>
      </c>
      <c r="J193" s="86" t="s">
        <v>137</v>
      </c>
      <c r="K193" s="86" t="s">
        <v>138</v>
      </c>
      <c r="L193" s="86" t="s">
        <v>139</v>
      </c>
      <c r="M193" s="86" t="s">
        <v>140</v>
      </c>
    </row>
    <row r="194" ht="19.5" customHeight="1" spans="1:13">
      <c r="A194" s="89" t="s">
        <v>68</v>
      </c>
      <c r="B194" s="8">
        <f>'50 изол (каолин)'!B194*0.9</f>
        <v>3922.1325</v>
      </c>
      <c r="C194" s="8">
        <f>'50 изол (каолин)'!C194*0.9</f>
        <v>3987.59625</v>
      </c>
      <c r="D194" s="88">
        <f>'50 изол (каолин)'!D194*0.9</f>
        <v>4273.644375</v>
      </c>
      <c r="E194" s="8">
        <f>'50 изол (каолин)'!E194*0.9</f>
        <v>4619.46375</v>
      </c>
      <c r="F194" s="8">
        <f>'50 изол (каолин)'!F194*0.9</f>
        <v>4980.9375</v>
      </c>
      <c r="G194" s="88">
        <f>'50 изол (каолин)'!G194*0.9</f>
        <v>5194.40625</v>
      </c>
      <c r="H194" s="8">
        <f>'50 изол (каолин)'!H194*0.9</f>
        <v>5447.7225</v>
      </c>
      <c r="I194" s="8">
        <f>'50 изол (каолин)'!I194*0.9</f>
        <v>5977.125</v>
      </c>
      <c r="J194" s="88">
        <f>'50 изол (каолин)'!J194*0.9</f>
        <v>6546.375</v>
      </c>
      <c r="K194" s="8">
        <f>'50 изол (каолин)'!K194*0.9</f>
        <v>7969.5</v>
      </c>
      <c r="L194" s="8">
        <f>'50 изол (каолин)'!L194*0.9</f>
        <v>8823.375</v>
      </c>
      <c r="M194" s="8">
        <f>'50 изол (каолин)'!M194*0.9</f>
        <v>9392.625</v>
      </c>
    </row>
    <row r="195" ht="19.5" customHeight="1" spans="1:13">
      <c r="A195" s="89" t="s">
        <v>18</v>
      </c>
      <c r="B195" s="8">
        <f>'50 изол (каолин)'!B195*0.9</f>
        <v>3214.839375</v>
      </c>
      <c r="C195" s="8">
        <f>'50 изол (каолин)'!C195*0.9</f>
        <v>3459.616875</v>
      </c>
      <c r="D195" s="88">
        <f>'50 изол (каолин)'!D195*0.9</f>
        <v>3755.626875</v>
      </c>
      <c r="E195" s="8">
        <f>'50 изол (каолин)'!E195*0.9</f>
        <v>4017.481875</v>
      </c>
      <c r="F195" s="8">
        <f>'50 изол (каолин)'!F195*0.9</f>
        <v>4256.566875</v>
      </c>
      <c r="G195" s="88">
        <f>'50 изол (каолин)'!G195*0.9</f>
        <v>4460.07375</v>
      </c>
      <c r="H195" s="8">
        <f>'50 изол (каолин)'!H195*0.9</f>
        <v>4714.813125</v>
      </c>
      <c r="I195" s="8">
        <f>'50 изол (каолин)'!I195*0.9</f>
        <v>5386.528125</v>
      </c>
      <c r="J195" s="88">
        <f>'50 изол (каолин)'!J195*0.9</f>
        <v>5544.495</v>
      </c>
      <c r="K195" s="8">
        <f>'50 изол (каолин)'!K195*0.9</f>
        <v>6831</v>
      </c>
      <c r="L195" s="8">
        <f>'50 изол (каолин)'!L195*0.9</f>
        <v>7428.7125</v>
      </c>
      <c r="M195" s="8">
        <f>'50 изол (каолин)'!M195*0.9</f>
        <v>7861.3425</v>
      </c>
    </row>
    <row r="196" ht="19.5" customHeight="1" spans="1:13">
      <c r="A196" s="89" t="s">
        <v>19</v>
      </c>
      <c r="B196" s="8">
        <f>'50 изол (каолин)'!B196*0.9</f>
        <v>2504.7</v>
      </c>
      <c r="C196" s="8">
        <f>'50 изол (каолин)'!C196*0.9</f>
        <v>2715.3225</v>
      </c>
      <c r="D196" s="88">
        <f>'50 изол (каолин)'!D196*0.9</f>
        <v>2960.1</v>
      </c>
      <c r="E196" s="8">
        <f>'50 изол (каолин)'!E196*0.9</f>
        <v>3182.1075</v>
      </c>
      <c r="F196" s="8">
        <f>'50 изол (каолин)'!F196*0.9</f>
        <v>3483.81</v>
      </c>
      <c r="G196" s="88">
        <f>'50 изол (каолин)'!G196*0.9</f>
        <v>3700.125</v>
      </c>
      <c r="H196" s="8">
        <f>'50 изол (каолин)'!H196*0.9</f>
        <v>3846.706875</v>
      </c>
      <c r="I196" s="8">
        <f>'50 изол (каолин)'!I196*0.9</f>
        <v>4178.295</v>
      </c>
      <c r="J196" s="88">
        <f>'50 изол (каолин)'!J196*0.9</f>
        <v>4554</v>
      </c>
      <c r="K196" s="8">
        <f>'50 изол (каолин)'!K196*0.9</f>
        <v>5550.1875</v>
      </c>
      <c r="L196" s="8">
        <f>'50 изол (каолин)'!L196*0.9</f>
        <v>6147.9</v>
      </c>
      <c r="M196" s="8">
        <f>'50 изол (каолин)'!M196*0.9</f>
        <v>6546.375</v>
      </c>
    </row>
    <row r="197" ht="19.5" customHeight="1" spans="1:13">
      <c r="A197" s="89" t="s">
        <v>20</v>
      </c>
      <c r="B197" s="8">
        <f>'50 изол (каолин)'!B197*0.9</f>
        <v>2079.185625</v>
      </c>
      <c r="C197" s="8">
        <f>'50 изол (каолин)'!C197*0.9</f>
        <v>2268.46125</v>
      </c>
      <c r="D197" s="88">
        <f>'50 изол (каолин)'!D197*0.9</f>
        <v>2481.93</v>
      </c>
      <c r="E197" s="8">
        <f>'50 изол (каолин)'!E197*0.9</f>
        <v>2681.1675</v>
      </c>
      <c r="F197" s="8">
        <f>'50 изол (каолин)'!F197*0.9</f>
        <v>2888.94375</v>
      </c>
      <c r="G197" s="88">
        <f>'50 изол (каолин)'!G197*0.9</f>
        <v>2988.5625</v>
      </c>
      <c r="H197" s="8">
        <f>'50 изол (каолин)'!H197*0.9</f>
        <v>3142.26</v>
      </c>
      <c r="I197" s="8">
        <f>'50 изол (каолин)'!I197*0.9</f>
        <v>3365.690625</v>
      </c>
      <c r="J197" s="88">
        <f>'50 изол (каолин)'!J197*0.9</f>
        <v>3700.125</v>
      </c>
      <c r="K197" s="8">
        <f>'50 изол (каолин)'!K197*0.9</f>
        <v>4457.2275</v>
      </c>
      <c r="L197" s="8">
        <f>'50 изол (каолин)'!L197*0.9</f>
        <v>4911.204375</v>
      </c>
      <c r="M197" s="8">
        <f>'50 изол (каолин)'!M197*0.9</f>
        <v>5214.33</v>
      </c>
    </row>
    <row r="198" ht="19.5" customHeight="1" spans="1:13">
      <c r="A198" s="89" t="s">
        <v>21</v>
      </c>
      <c r="B198" s="8">
        <f>'50 изол (каолин)'!B198*0.9</f>
        <v>1972.45125</v>
      </c>
      <c r="C198" s="8">
        <f>'50 изол (каолин)'!C198*0.9</f>
        <v>1996.644375</v>
      </c>
      <c r="D198" s="88">
        <f>'50 изол (каолин)'!D198*0.9</f>
        <v>2082.031875</v>
      </c>
      <c r="E198" s="8">
        <f>'50 изол (каолин)'!E198*0.9</f>
        <v>2143.22625</v>
      </c>
      <c r="F198" s="8">
        <f>'50 изол (каолин)'!F198*0.9</f>
        <v>2302.61625</v>
      </c>
      <c r="G198" s="88">
        <f>'50 изол (каолин)'!G198*0.9</f>
        <v>2415.043125</v>
      </c>
      <c r="H198" s="8">
        <f>'50 изол (каолин)'!H198*0.9</f>
        <v>2463.429375</v>
      </c>
      <c r="I198" s="8">
        <f>'50 изол (каолин)'!I198*0.9</f>
        <v>2622.819375</v>
      </c>
      <c r="J198" s="88">
        <f>'50 изол (каолин)'!J198*0.9</f>
        <v>2970.061875</v>
      </c>
      <c r="K198" s="8">
        <f>'50 изол (каолин)'!K198*0.9</f>
        <v>3418.34625</v>
      </c>
      <c r="L198" s="8">
        <f>'50 изол (каолин)'!L198*0.9</f>
        <v>3687.316875</v>
      </c>
      <c r="M198" s="8">
        <f>'50 изол (каолин)'!M198*0.9</f>
        <v>3866.630625</v>
      </c>
    </row>
    <row r="199" ht="19.5" customHeight="1" spans="1:13">
      <c r="A199" s="89" t="s">
        <v>22</v>
      </c>
      <c r="B199" s="8">
        <f>'50 изол (каолин)'!B199*0.9</f>
        <v>1504.243125</v>
      </c>
      <c r="C199" s="8">
        <f>'50 изол (каолин)'!C199*0.9</f>
        <v>1518.474375</v>
      </c>
      <c r="D199" s="88">
        <f>'50 изол (каолин)'!D199*0.9</f>
        <v>1568.28375</v>
      </c>
      <c r="E199" s="8">
        <f>'50 изол (каолин)'!E199*0.9</f>
        <v>1605.285</v>
      </c>
      <c r="F199" s="8">
        <f>'50 изол (каолин)'!F199*0.9</f>
        <v>1697.788125</v>
      </c>
      <c r="G199" s="88">
        <f>'50 изол (каолин)'!G199*0.9</f>
        <v>1776.06</v>
      </c>
      <c r="H199" s="8">
        <f>'50 изол (каолин)'!H199*0.9</f>
        <v>1804.5225</v>
      </c>
      <c r="I199" s="8">
        <f>'50 изол (каолин)'!I199*0.9</f>
        <v>2023.68375</v>
      </c>
      <c r="J199" s="88">
        <f>'50 изол (каолин)'!J199*0.9</f>
        <v>2242.845</v>
      </c>
      <c r="K199" s="8">
        <f>'50 изол (каолин)'!K199*0.9</f>
        <v>2518.93125</v>
      </c>
      <c r="L199" s="8">
        <f>'50 изол (каолин)'!L199*0.9</f>
        <v>2684.01375</v>
      </c>
      <c r="M199" s="8">
        <f>'50 изол (каолин)'!M199*0.9</f>
        <v>2795.0175</v>
      </c>
    </row>
    <row r="200" ht="19.5" customHeight="1" spans="1:13">
      <c r="A200" s="89" t="s">
        <v>23</v>
      </c>
      <c r="B200" s="8">
        <f>'50 изол (каолин)'!B200*0.9</f>
        <v>4437.30375</v>
      </c>
      <c r="C200" s="8">
        <f>'50 изол (каолин)'!C200*0.9</f>
        <v>4798.7775</v>
      </c>
      <c r="D200" s="88">
        <f>'50 изол (каолин)'!D200*0.9</f>
        <v>5019.361875</v>
      </c>
      <c r="E200" s="8">
        <f>'50 изол (каолин)'!E200*0.9</f>
        <v>5538.8025</v>
      </c>
      <c r="F200" s="8">
        <f>'50 изол (каолин)'!F200*0.9</f>
        <v>5900.27625</v>
      </c>
      <c r="G200" s="88">
        <f>'50 изол (каолин)'!G200*0.9</f>
        <v>6273.135</v>
      </c>
      <c r="H200" s="8">
        <f>'50 изол (каолин)'!H200*0.9</f>
        <v>6628.91625</v>
      </c>
      <c r="I200" s="8">
        <f>'50 изол (каолин)'!I200*0.9</f>
        <v>7434.405</v>
      </c>
      <c r="J200" s="88">
        <f>'50 изол (каолин)'!J200*0.9</f>
        <v>8256.97125</v>
      </c>
      <c r="K200" s="8">
        <f>'50 изол (каолин)'!K200*0.9</f>
        <v>10354.6575</v>
      </c>
      <c r="L200" s="8">
        <f>'50 изол (каолин)'!L200*0.9</f>
        <v>11413.4625</v>
      </c>
      <c r="M200" s="8">
        <f>'50 изол (каолин)'!M200*0.9</f>
        <v>11957.09625</v>
      </c>
    </row>
    <row r="201" ht="19.5" customHeight="1" spans="1:13">
      <c r="A201" s="89" t="s">
        <v>24</v>
      </c>
      <c r="B201" s="8">
        <f>'50 изол (каолин)'!B201*0.9</f>
        <v>4152.67875</v>
      </c>
      <c r="C201" s="8">
        <f>'50 изол (каолин)'!C201*0.9</f>
        <v>4514.1525</v>
      </c>
      <c r="D201" s="88">
        <f>'50 изол (каолин)'!D201*0.9</f>
        <v>4734.736875</v>
      </c>
      <c r="E201" s="8">
        <f>'50 изол (каолин)'!E201*0.9</f>
        <v>5254.1775</v>
      </c>
      <c r="F201" s="8">
        <f>'50 изол (каолин)'!F201*0.9</f>
        <v>5615.65125</v>
      </c>
      <c r="G201" s="88">
        <f>'50 изол (каолин)'!G201*0.9</f>
        <v>5988.51</v>
      </c>
      <c r="H201" s="8">
        <f>'50 изол (каолин)'!H201*0.9</f>
        <v>6344.29125</v>
      </c>
      <c r="I201" s="8">
        <f>'50 изол (каолин)'!I201*0.9</f>
        <v>7149.78</v>
      </c>
      <c r="J201" s="88">
        <f>'50 изол (каолин)'!J201*0.9</f>
        <v>7972.34625</v>
      </c>
      <c r="K201" s="8">
        <f>'50 изол (каолин)'!K201*0.9</f>
        <v>10070.0325</v>
      </c>
      <c r="L201" s="8">
        <f>'50 изол (каолин)'!L201*0.9</f>
        <v>11128.8375</v>
      </c>
      <c r="M201" s="8">
        <f>'50 изол (каолин)'!M201*0.9</f>
        <v>11698.0875</v>
      </c>
    </row>
    <row r="202" ht="19.5" customHeight="1" spans="1:13">
      <c r="A202" s="89" t="s">
        <v>26</v>
      </c>
      <c r="B202" s="8">
        <f>'50 изол (каолин)'!B202*0.9</f>
        <v>5322.4875</v>
      </c>
      <c r="C202" s="8">
        <f>'50 изол (каолин)'!C202*0.9</f>
        <v>5681.115</v>
      </c>
      <c r="D202" s="88">
        <f>'50 изол (каолин)'!D202*0.9</f>
        <v>6143.630625</v>
      </c>
      <c r="E202" s="8">
        <f>'50 изол (каолин)'!E202*0.9</f>
        <v>6913.54125</v>
      </c>
      <c r="F202" s="8">
        <f>'50 изол (каолин)'!F202*0.9</f>
        <v>6998.92875</v>
      </c>
      <c r="G202" s="88">
        <f>'50 изол (каолин)'!G202*0.9</f>
        <v>7471.40625</v>
      </c>
      <c r="H202" s="8">
        <f>'50 изол (каолин)'!H202*0.9</f>
        <v>7891.228125</v>
      </c>
      <c r="I202" s="8">
        <f>'50 изол (каолин)'!I202*0.9</f>
        <v>8776.411875</v>
      </c>
      <c r="J202" s="88">
        <f>'50 изол (каолин)'!J202*0.9</f>
        <v>9532.09125</v>
      </c>
      <c r="K202" s="8">
        <f>'50 изол (каолин)'!K202*0.9</f>
        <v>11706.62625</v>
      </c>
      <c r="L202" s="8">
        <f>'50 изол (каолин)'!L202*0.9</f>
        <v>13011.631875</v>
      </c>
      <c r="M202" s="8">
        <f>'50 изол (каолин)'!M202*0.9</f>
        <v>13881.16125</v>
      </c>
    </row>
    <row r="203" ht="19.5" customHeight="1" spans="1:13">
      <c r="A203" s="89" t="s">
        <v>27</v>
      </c>
      <c r="B203" s="8">
        <f>'50 изол (каолин)'!B203*0.9</f>
        <v>7195.32</v>
      </c>
      <c r="C203" s="8">
        <f>'50 изол (каолин)'!C203*0.9</f>
        <v>7562.48625</v>
      </c>
      <c r="D203" s="88">
        <f>'50 изол (каолин)'!D203*0.9</f>
        <v>7902.613125</v>
      </c>
      <c r="E203" s="8">
        <f>'50 изол (каолин)'!E203*0.9</f>
        <v>8466.170625</v>
      </c>
      <c r="F203" s="8">
        <f>'50 изол (каолин)'!F203*0.9</f>
        <v>8908.7625</v>
      </c>
      <c r="G203" s="88">
        <f>'50 изол (каолин)'!G203*0.9</f>
        <v>9880.756875</v>
      </c>
      <c r="H203" s="8">
        <f>'50 изол (каолин)'!H203*0.9</f>
        <v>10953.793125</v>
      </c>
      <c r="I203" s="8">
        <f>'50 изол (каолин)'!I203*0.9</f>
        <v>12066.676875</v>
      </c>
      <c r="J203" s="88">
        <f>'50 изол (каолин)'!J203*0.9</f>
        <v>13837.044375</v>
      </c>
      <c r="K203" s="8">
        <f>'50 изол (каолин)'!K203*0.9</f>
        <v>16341.744375</v>
      </c>
      <c r="L203" s="8">
        <f>'50 изол (каолин)'!L203*0.9</f>
        <v>17844.564375</v>
      </c>
      <c r="M203" s="8">
        <f>'50 изол (каолин)'!M203*0.9</f>
        <v>18746.825625</v>
      </c>
    </row>
    <row r="204" ht="19.5" customHeight="1" spans="1:13">
      <c r="A204" s="89" t="s">
        <v>70</v>
      </c>
      <c r="B204" s="8">
        <f>'50 изол (каолин)'!B204*0.9</f>
        <v>13017.324375</v>
      </c>
      <c r="C204" s="8">
        <f>'50 изол (каолин)'!C204*0.9</f>
        <v>13454.22375</v>
      </c>
      <c r="D204" s="88">
        <f>'50 изол (каолин)'!D204*0.9</f>
        <v>13829.92875</v>
      </c>
      <c r="E204" s="8">
        <f>'50 изол (каолин)'!E204*0.9</f>
        <v>14246.904375</v>
      </c>
      <c r="F204" s="8">
        <f>'50 изол (каолин)'!F204*0.9</f>
        <v>14710.843125</v>
      </c>
      <c r="G204" s="88">
        <f>'50 изол (каолин)'!G204*0.9</f>
        <v>15734.07</v>
      </c>
      <c r="H204" s="8">
        <f>'50 изол (каолин)'!H204*0.9</f>
        <v>16286.2425</v>
      </c>
      <c r="I204" s="8">
        <f>'50 изол (каолин)'!I204*0.9</f>
        <v>17475.975</v>
      </c>
      <c r="J204" s="88">
        <f>'50 изол (каолин)'!J204*0.9</f>
        <v>19641.97125</v>
      </c>
      <c r="K204" s="8">
        <f>'50 изол (каолин)'!K204*0.9</f>
        <v>23366.289375</v>
      </c>
      <c r="L204" s="8">
        <f>'50 изол (каолин)'!L204*0.9</f>
        <v>25600.595625</v>
      </c>
      <c r="M204" s="8">
        <f>'50 изол (каолин)'!M204*0.9</f>
        <v>27154.648125</v>
      </c>
    </row>
    <row r="205" ht="19.5" customHeight="1" spans="1:13">
      <c r="A205" s="89" t="s">
        <v>71</v>
      </c>
      <c r="B205" s="8">
        <f>'50 изол (каолин)'!B205*0.9</f>
        <v>1561.168125</v>
      </c>
      <c r="C205" s="8">
        <f>'50 изол (каолин)'!C205*0.9</f>
        <v>1593.9</v>
      </c>
      <c r="D205" s="88">
        <f>'50 изол (каолин)'!D205*0.9</f>
        <v>1707.75</v>
      </c>
      <c r="E205" s="8">
        <f>'50 изол (каолин)'!E205*0.9</f>
        <v>1892.75625</v>
      </c>
      <c r="F205" s="8">
        <f>'50 изол (каолин)'!F205*0.9</f>
        <v>2033.645625</v>
      </c>
      <c r="G205" s="88">
        <f>'50 изол (каолин)'!G205*0.9</f>
        <v>2157.4575</v>
      </c>
      <c r="H205" s="8">
        <f>'50 изол (каолин)'!H205*0.9</f>
        <v>2342.46375</v>
      </c>
      <c r="I205" s="8">
        <f>'50 изол (каолин)'!I205*0.9</f>
        <v>2419.3125</v>
      </c>
      <c r="J205" s="88">
        <f>'50 изол (каолин)'!J205*0.9</f>
        <v>2703.9375</v>
      </c>
      <c r="K205" s="8">
        <f>'50 изол (каолин)'!K205*0.9</f>
        <v>3093.87375</v>
      </c>
      <c r="L205" s="8">
        <f>'50 изол (каолин)'!L205*0.9</f>
        <v>3327.26625</v>
      </c>
      <c r="M205" s="8">
        <f>'50 изол (каолин)'!M205*0.9</f>
        <v>3468.155625</v>
      </c>
    </row>
    <row r="206" ht="19.5" customHeight="1" spans="1:13">
      <c r="A206" s="89" t="s">
        <v>72</v>
      </c>
      <c r="B206" s="8">
        <f>'50 изол (каолин)'!B206*0.9</f>
        <v>4371.84</v>
      </c>
      <c r="C206" s="8">
        <f>'50 изол (каолин)'!C206*0.9</f>
        <v>4507.036875</v>
      </c>
      <c r="D206" s="88">
        <f>'50 изол (каолин)'!D206*0.9</f>
        <v>4569.654375</v>
      </c>
      <c r="E206" s="8">
        <f>'50 изол (каолин)'!E206*0.9</f>
        <v>4746.121875</v>
      </c>
      <c r="F206" s="8">
        <f>'50 изол (каолин)'!F206*0.9</f>
        <v>4904.08875</v>
      </c>
      <c r="G206" s="88">
        <f>'50 изол (каолин)'!G206*0.9</f>
        <v>5281.216875</v>
      </c>
      <c r="H206" s="8">
        <f>'50 изол (каолин)'!H206*0.9</f>
        <v>5456.26125</v>
      </c>
      <c r="I206" s="8">
        <f>'50 изол (каолин)'!I206*0.9</f>
        <v>5840.505</v>
      </c>
      <c r="J206" s="88">
        <f>'50 изол (каолин)'!J206*0.9</f>
        <v>6552.0675</v>
      </c>
      <c r="K206" s="8">
        <f>'50 изол (каолин)'!K206*0.9</f>
        <v>7904.03625</v>
      </c>
      <c r="L206" s="8">
        <f>'50 изол (каолин)'!L206*0.9</f>
        <v>8715.2175</v>
      </c>
      <c r="M206" s="8">
        <f>'50 изол (каолин)'!M206*0.9</f>
        <v>9201.92625</v>
      </c>
    </row>
    <row r="207" ht="19.5" customHeight="1" spans="1:13">
      <c r="A207" s="89" t="s">
        <v>73</v>
      </c>
      <c r="B207" s="8">
        <f>'50 изол (каолин)'!B207*0.9</f>
        <v>1771.790625</v>
      </c>
      <c r="C207" s="8">
        <f>'50 изол (каолин)'!C207*0.9</f>
        <v>1845.793125</v>
      </c>
      <c r="D207" s="88">
        <f>'50 изол (каолин)'!D207*0.9</f>
        <v>1976.720625</v>
      </c>
      <c r="E207" s="8">
        <f>'50 изол (каолин)'!E207*0.9</f>
        <v>2084.878125</v>
      </c>
      <c r="F207" s="8">
        <f>'50 изол (каолин)'!F207*0.9</f>
        <v>2163.15</v>
      </c>
      <c r="G207" s="88">
        <f>'50 изол (каолин)'!G207*0.9</f>
        <v>2425.005</v>
      </c>
      <c r="H207" s="8">
        <f>'50 изол (каолин)'!H207*0.9</f>
        <v>2595.78</v>
      </c>
      <c r="I207" s="8">
        <f>'50 изол (каолин)'!I207*0.9</f>
        <v>3022.7175</v>
      </c>
      <c r="J207" s="88">
        <f>'50 изол (каолин)'!J207*0.9</f>
        <v>3278.88</v>
      </c>
      <c r="K207" s="8">
        <f>'50 изол (каолин)'!K207*0.9</f>
        <v>4021.75125</v>
      </c>
      <c r="L207" s="8">
        <f>'50 изол (каолин)'!L207*0.9</f>
        <v>4467.189375</v>
      </c>
      <c r="M207" s="8">
        <f>'50 изол (каолин)'!M207*0.9</f>
        <v>4734.736875</v>
      </c>
    </row>
    <row r="208" ht="19.5" customHeight="1" spans="1:13">
      <c r="A208" s="89" t="s">
        <v>74</v>
      </c>
      <c r="B208" s="8">
        <f>'50 изол (каолин)'!B208*0.9</f>
        <v>2237.1525</v>
      </c>
      <c r="C208" s="8">
        <f>'50 изол (каолин)'!C208*0.9</f>
        <v>2348.15625</v>
      </c>
      <c r="D208" s="88">
        <f>'50 изол (каолин)'!D208*0.9</f>
        <v>2504.7</v>
      </c>
      <c r="E208" s="8">
        <f>'50 изол (каолин)'!E208*0.9</f>
        <v>2587.5</v>
      </c>
      <c r="F208" s="8">
        <f>'50 изол (каолин)'!F208*0.9</f>
        <v>2733.823125</v>
      </c>
      <c r="G208" s="88">
        <f>'50 изол (каолин)'!G208*0.9</f>
        <v>3183.530625</v>
      </c>
      <c r="H208" s="8">
        <f>'50 изол (каолин)'!H208*0.9</f>
        <v>3396.999375</v>
      </c>
      <c r="I208" s="8">
        <f>'50 изол (каолин)'!I208*0.9</f>
        <v>3769.858125</v>
      </c>
      <c r="J208" s="88">
        <f>'50 изол (каолин)'!J208*0.9</f>
        <v>4203.91125</v>
      </c>
      <c r="K208" s="8">
        <f>'50 изол (каолин)'!K208*0.9</f>
        <v>5046.40125</v>
      </c>
      <c r="L208" s="8">
        <f>'50 изол (каолин)'!L208*0.9</f>
        <v>5551.610625</v>
      </c>
      <c r="M208" s="8">
        <f>'50 изол (каолин)'!M208*0.9</f>
        <v>5854.73625</v>
      </c>
    </row>
    <row r="209" ht="19.5" customHeight="1" spans="1:14">
      <c r="A209" s="89" t="s">
        <v>77</v>
      </c>
      <c r="B209" s="8">
        <f>'50 изол (каолин)'!B209*0.9</f>
        <v>2952.984375</v>
      </c>
      <c r="C209" s="8">
        <f>'50 изол (каолин)'!C209*0.9</f>
        <v>3031.25625</v>
      </c>
      <c r="D209" s="88">
        <f>'50 изол (каолин)'!D209*0.9</f>
        <v>3277.456875</v>
      </c>
      <c r="E209" s="8">
        <f>'50 изол (каолин)'!E209*0.9</f>
        <v>3557.8125</v>
      </c>
      <c r="F209" s="8">
        <f>'50 изол (каолин)'!F209*0.9</f>
        <v>3771.28125</v>
      </c>
      <c r="G209" s="88">
        <f>'50 изол (каолин)'!G209*0.9</f>
        <v>4267.951875</v>
      </c>
      <c r="H209" s="8">
        <f>'50 изол (каолин)'!H209*0.9</f>
        <v>4663.580625</v>
      </c>
      <c r="I209" s="8">
        <f>'50 изол (каолин)'!I209*0.9</f>
        <v>5059.209375</v>
      </c>
      <c r="J209" s="88">
        <f>'50 изол (каолин)'!J209*0.9</f>
        <v>5533.11</v>
      </c>
      <c r="K209" s="8">
        <f>'50 изол (каолин)'!K209*0.9</f>
        <v>6717.15</v>
      </c>
      <c r="L209" s="8">
        <f>'50 изол (каолин)'!L209*0.9</f>
        <v>7427.289375</v>
      </c>
      <c r="M209" s="8">
        <f>'50 изол (каолин)'!M209*0.9</f>
        <v>7901.19</v>
      </c>
    </row>
    <row r="210" ht="19.5" customHeight="1" spans="1:14">
      <c r="A210" s="17"/>
      <c r="B210" s="35"/>
      <c r="C210" s="35"/>
      <c r="D210" s="49"/>
      <c r="E210" s="35"/>
      <c r="F210" s="35"/>
      <c r="G210" s="49"/>
      <c r="H210" s="35"/>
      <c r="I210" s="35"/>
      <c r="J210" s="49"/>
      <c r="K210" s="35"/>
      <c r="L210" s="35"/>
      <c r="M210" s="35"/>
    </row>
    <row r="211" ht="19.5" customHeight="1" spans="1:14">
      <c r="A211" s="82" t="s">
        <v>35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5"/>
    </row>
    <row r="212" ht="19.5" customHeight="1" spans="1:14">
      <c r="A212" s="35"/>
      <c r="B212" s="35"/>
      <c r="C212" s="35"/>
      <c r="D212" s="49"/>
      <c r="E212" s="35"/>
      <c r="F212" s="35"/>
      <c r="G212" s="49"/>
      <c r="H212" s="35"/>
      <c r="I212" s="35"/>
      <c r="J212" s="49"/>
      <c r="K212" s="83" t="s">
        <v>127</v>
      </c>
    </row>
    <row r="213" ht="19.5" customHeight="1" spans="1:14">
      <c r="A213" s="35"/>
      <c r="B213" s="35"/>
      <c r="C213" s="35"/>
      <c r="D213" s="49"/>
      <c r="E213" s="35"/>
      <c r="F213" s="35"/>
      <c r="G213" s="49"/>
      <c r="H213" s="35"/>
      <c r="I213" s="35"/>
      <c r="J213" s="49"/>
    </row>
    <row r="214" ht="19.5" customHeight="1" spans="1:14">
      <c r="A214" s="92" t="s">
        <v>121</v>
      </c>
      <c r="B214" s="35"/>
      <c r="C214" s="35"/>
      <c r="D214" s="49"/>
      <c r="E214" s="35"/>
      <c r="F214" s="35"/>
      <c r="G214" s="49"/>
      <c r="H214" s="35"/>
      <c r="I214" s="35"/>
      <c r="J214" s="49"/>
    </row>
    <row r="215" ht="19.5" customHeight="1" spans="1:14">
      <c r="A215" s="92" t="s">
        <v>118</v>
      </c>
      <c r="B215" s="35"/>
      <c r="C215" s="35"/>
      <c r="D215" s="49"/>
      <c r="E215" s="35"/>
      <c r="F215" s="35"/>
      <c r="G215" s="49"/>
      <c r="H215" s="35"/>
      <c r="I215" s="35"/>
      <c r="J215" s="49"/>
      <c r="K215" s="35"/>
      <c r="L215" s="35"/>
      <c r="M215" s="35"/>
    </row>
    <row r="216" ht="19.5" customHeight="1" spans="1:14">
      <c r="A216" s="85" t="s">
        <v>128</v>
      </c>
    </row>
    <row r="217" ht="27" customHeight="1" spans="1:14">
      <c r="A217" s="17"/>
      <c r="B217" s="86" t="s">
        <v>129</v>
      </c>
      <c r="C217" s="86" t="s">
        <v>130</v>
      </c>
      <c r="D217" s="86" t="s">
        <v>131</v>
      </c>
      <c r="E217" s="86" t="s">
        <v>132</v>
      </c>
      <c r="F217" s="86" t="s">
        <v>133</v>
      </c>
      <c r="G217" s="86" t="s">
        <v>134</v>
      </c>
      <c r="H217" s="86" t="s">
        <v>135</v>
      </c>
      <c r="I217" s="86" t="s">
        <v>136</v>
      </c>
      <c r="J217" s="86" t="s">
        <v>137</v>
      </c>
      <c r="K217" s="86" t="s">
        <v>138</v>
      </c>
      <c r="L217" s="86" t="s">
        <v>139</v>
      </c>
      <c r="M217" s="86" t="s">
        <v>140</v>
      </c>
    </row>
    <row r="218" ht="19.5" customHeight="1" spans="1:14">
      <c r="A218" s="89" t="s">
        <v>68</v>
      </c>
      <c r="B218" s="8">
        <f>'50 изол (каолин)'!B218*0.9</f>
        <v>4544.038125</v>
      </c>
      <c r="C218" s="8">
        <f>'50 изол (каолин)'!C218*0.9</f>
        <v>4945.359375</v>
      </c>
      <c r="D218" s="88">
        <f>'50 изол (каолин)'!D218*0.9</f>
        <v>5265.5625</v>
      </c>
      <c r="E218" s="8">
        <f>'50 изол (каолин)'!E218*0.9</f>
        <v>5706.73125</v>
      </c>
      <c r="F218" s="8">
        <f>'50 изол (каолин)'!F218*0.9</f>
        <v>6052.550625</v>
      </c>
      <c r="G218" s="88">
        <f>'50 изол (каолин)'!G218*0.9</f>
        <v>6317.251875</v>
      </c>
      <c r="H218" s="8">
        <f>'50 изол (каолин)'!H218*0.9</f>
        <v>6926.349375</v>
      </c>
      <c r="I218" s="8">
        <f>'50 изол (каолин)'!I218*0.9</f>
        <v>7563.909375</v>
      </c>
      <c r="J218" s="88">
        <f>'50 изол (каолин)'!J218*0.9</f>
        <v>8133.159375</v>
      </c>
      <c r="K218" s="8">
        <f>'50 изол (каолин)'!K218*0.9</f>
        <v>10388.8125</v>
      </c>
      <c r="L218" s="8">
        <f>'50 изол (каолин)'!L218*0.9</f>
        <v>11385</v>
      </c>
      <c r="M218" s="8">
        <f>'50 изол (каолин)'!M218*0.9</f>
        <v>12238.875</v>
      </c>
    </row>
    <row r="219" ht="19.5" customHeight="1" spans="1:14">
      <c r="A219" s="89" t="s">
        <v>18</v>
      </c>
      <c r="B219" s="8">
        <f>'50 изол (каолин)'!B219*0.9</f>
        <v>3920.709375</v>
      </c>
      <c r="C219" s="8">
        <f>'50 изол (каолин)'!C219*0.9</f>
        <v>4182.564375</v>
      </c>
      <c r="D219" s="88">
        <f>'50 изол (каолин)'!D219*0.9</f>
        <v>4554</v>
      </c>
      <c r="E219" s="8">
        <f>'50 изол (каолин)'!E219*0.9</f>
        <v>4825.816875</v>
      </c>
      <c r="F219" s="8">
        <f>'50 изол (каолин)'!F219*0.9</f>
        <v>5123.25</v>
      </c>
      <c r="G219" s="88">
        <f>'50 изол (каолин)'!G219*0.9</f>
        <v>5255.600625</v>
      </c>
      <c r="H219" s="8">
        <f>'50 изол (каолин)'!H219*0.9</f>
        <v>5962.89375</v>
      </c>
      <c r="I219" s="8">
        <f>'50 изол (каолин)'!I219*0.9</f>
        <v>6618.954375</v>
      </c>
      <c r="J219" s="88">
        <f>'50 изол (каолин)'!J219*0.9</f>
        <v>6831</v>
      </c>
      <c r="K219" s="8">
        <f>'50 изол (каолин)'!K219*0.9</f>
        <v>8823.375</v>
      </c>
      <c r="L219" s="8">
        <f>'50 изол (каолин)'!L219*0.9</f>
        <v>9677.25</v>
      </c>
      <c r="M219" s="8">
        <f>'50 изол (каолин)'!M219*0.9</f>
        <v>10459.96875</v>
      </c>
    </row>
    <row r="220" ht="19.5" customHeight="1" spans="1:14">
      <c r="A220" s="89" t="s">
        <v>19</v>
      </c>
      <c r="B220" s="8">
        <f>'50 изол (каолин)'!B220*0.9</f>
        <v>3199.185</v>
      </c>
      <c r="C220" s="8">
        <f>'50 изол (каолин)'!C220*0.9</f>
        <v>3421.1925</v>
      </c>
      <c r="D220" s="88">
        <f>'50 изол (каолин)'!D220*0.9</f>
        <v>3700.125</v>
      </c>
      <c r="E220" s="8">
        <f>'50 изол (каолин)'!E220*0.9</f>
        <v>3943.479375</v>
      </c>
      <c r="F220" s="8">
        <f>'50 изол (каолин)'!F220*0.9</f>
        <v>4186.83375</v>
      </c>
      <c r="G220" s="88">
        <f>'50 изол (каолин)'!G220*0.9</f>
        <v>4622.31</v>
      </c>
      <c r="H220" s="8">
        <f>'50 изол (каолин)'!H220*0.9</f>
        <v>4855.7025</v>
      </c>
      <c r="I220" s="8">
        <f>'50 изол (каолин)'!I220*0.9</f>
        <v>5387.95125</v>
      </c>
      <c r="J220" s="88">
        <f>'50 изол (каолин)'!J220*0.9</f>
        <v>5692.5</v>
      </c>
      <c r="K220" s="8">
        <f>'50 изол (каолин)'!K220*0.9</f>
        <v>7302.054375</v>
      </c>
      <c r="L220" s="8">
        <f>'50 изол (каолин)'!L220*0.9</f>
        <v>8056.310625</v>
      </c>
      <c r="M220" s="8">
        <f>'50 изол (каолин)'!M220*0.9</f>
        <v>8558.67375</v>
      </c>
    </row>
    <row r="221" ht="19.5" customHeight="1" spans="1:14">
      <c r="A221" s="89" t="s">
        <v>20</v>
      </c>
      <c r="B221" s="8">
        <f>'50 изол (каолин)'!B221*0.9</f>
        <v>2920.2525</v>
      </c>
      <c r="C221" s="8">
        <f>'50 изол (каолин)'!C221*0.9</f>
        <v>2988.5625</v>
      </c>
      <c r="D221" s="88">
        <f>'50 изол (каолин)'!D221*0.9</f>
        <v>3157.914375</v>
      </c>
      <c r="E221" s="8">
        <f>'50 изол (каолин)'!E221*0.9</f>
        <v>3276.03375</v>
      </c>
      <c r="F221" s="8">
        <f>'50 изол (каолин)'!F221*0.9</f>
        <v>3586.275</v>
      </c>
      <c r="G221" s="88">
        <f>'50 изол (каолин)'!G221*0.9</f>
        <v>3738.549375</v>
      </c>
      <c r="H221" s="8">
        <f>'50 изол (каолин)'!H221*0.9</f>
        <v>3848.13</v>
      </c>
      <c r="I221" s="8">
        <f>'50 изол (каолин)'!I221*0.9</f>
        <v>4145.563125</v>
      </c>
      <c r="J221" s="88">
        <f>'50 изол (каолин)'!J221*0.9</f>
        <v>4753.2375</v>
      </c>
      <c r="K221" s="8">
        <f>'50 изол (каолин)'!K221*0.9</f>
        <v>5571.534375</v>
      </c>
      <c r="L221" s="8">
        <f>'50 изол (каолин)'!L221*0.9</f>
        <v>6062.5125</v>
      </c>
      <c r="M221" s="8">
        <f>'50 изол (каолин)'!M221*0.9</f>
        <v>6357.099375</v>
      </c>
    </row>
    <row r="222" ht="19.5" customHeight="1" spans="1:14">
      <c r="A222" s="89" t="s">
        <v>21</v>
      </c>
      <c r="B222" s="8">
        <f>'50 изол (каолин)'!B222*0.9</f>
        <v>2322.54</v>
      </c>
      <c r="C222" s="8">
        <f>'50 изол (каолин)'!C222*0.9</f>
        <v>2372.349375</v>
      </c>
      <c r="D222" s="88">
        <f>'50 изол (каолин)'!D222*0.9</f>
        <v>2493.315</v>
      </c>
      <c r="E222" s="8">
        <f>'50 изол (каолин)'!E222*0.9</f>
        <v>2577.279375</v>
      </c>
      <c r="F222" s="8">
        <f>'50 изол (каолин)'!F222*0.9</f>
        <v>2799.286875</v>
      </c>
      <c r="G222" s="88">
        <f>'50 изол (каолин)'!G222*0.9</f>
        <v>2917.40625</v>
      </c>
      <c r="H222" s="8">
        <f>'50 изол (каолин)'!H222*0.9</f>
        <v>2995.678125</v>
      </c>
      <c r="I222" s="8">
        <f>'50 изол (каолин)'!I222*0.9</f>
        <v>3207.72375</v>
      </c>
      <c r="J222" s="88">
        <f>'50 изол (каолин)'!J222*0.9</f>
        <v>3650.315625</v>
      </c>
      <c r="K222" s="8">
        <f>'50 изол (каолин)'!K222*0.9</f>
        <v>4245.181875</v>
      </c>
      <c r="L222" s="8">
        <f>'50 изол (каолин)'!L222*0.9</f>
        <v>4602.38625</v>
      </c>
      <c r="M222" s="8">
        <f>'50 изол (каолин)'!M222*0.9</f>
        <v>4815.855</v>
      </c>
    </row>
    <row r="223" ht="19.5" customHeight="1" spans="1:14">
      <c r="A223" s="89" t="s">
        <v>22</v>
      </c>
      <c r="B223" s="8">
        <f>'50 изол (каолин)'!B223*0.9</f>
        <v>1750.44375</v>
      </c>
      <c r="C223" s="8">
        <f>'50 изол (каолин)'!C223*0.9</f>
        <v>1777.483125</v>
      </c>
      <c r="D223" s="88">
        <f>'50 изол (каолин)'!D223*0.9</f>
        <v>1845.793125</v>
      </c>
      <c r="E223" s="8">
        <f>'50 изол (каолин)'!E223*0.9</f>
        <v>1892.75625</v>
      </c>
      <c r="F223" s="8">
        <f>'50 изол (каолин)'!F223*0.9</f>
        <v>2019.414375</v>
      </c>
      <c r="G223" s="88">
        <f>'50 изол (каолин)'!G223*0.9</f>
        <v>2101.955625</v>
      </c>
      <c r="H223" s="8">
        <f>'50 изол (каолин)'!H223*0.9</f>
        <v>2146.0725</v>
      </c>
      <c r="I223" s="8">
        <f>'50 изол (каолин)'!I223*0.9</f>
        <v>2265.615</v>
      </c>
      <c r="J223" s="88">
        <f>'50 изол (каолин)'!J223*0.9</f>
        <v>2534.585625</v>
      </c>
      <c r="K223" s="8">
        <f>'50 изол (каолин)'!K223*0.9</f>
        <v>2886.0975</v>
      </c>
      <c r="L223" s="8">
        <f>'50 изол (каолин)'!L223*0.9</f>
        <v>3096.72</v>
      </c>
      <c r="M223" s="8">
        <f>'50 изол (каолин)'!M223*0.9</f>
        <v>3223.378125</v>
      </c>
    </row>
    <row r="224" ht="19.5" customHeight="1" spans="1:14">
      <c r="A224" s="89" t="s">
        <v>23</v>
      </c>
      <c r="B224" s="8">
        <f>'50 изол (каолин)'!B224*0.9</f>
        <v>5261.293125</v>
      </c>
      <c r="C224" s="8">
        <f>'50 изол (каолин)'!C224*0.9</f>
        <v>5612.805</v>
      </c>
      <c r="D224" s="88">
        <f>'50 изол (каолин)'!D224*0.9</f>
        <v>6172.093125</v>
      </c>
      <c r="E224" s="8">
        <f>'50 изол (каолин)'!E224*0.9</f>
        <v>6579.106875</v>
      </c>
      <c r="F224" s="8">
        <f>'50 изол (каолин)'!F224*0.9</f>
        <v>7111.355625</v>
      </c>
      <c r="G224" s="88">
        <f>'50 изол (каолин)'!G224*0.9</f>
        <v>7822.918125</v>
      </c>
      <c r="H224" s="8">
        <f>'50 изол (каолин)'!H224*0.9</f>
        <v>8533.0575</v>
      </c>
      <c r="I224" s="8">
        <f>'50 изол (каолин)'!I224*0.9</f>
        <v>8804.874375</v>
      </c>
      <c r="J224" s="88">
        <f>'50 изол (каолин)'!J224*0.9</f>
        <v>9682.9425</v>
      </c>
      <c r="K224" s="8">
        <f>'50 изол (каолин)'!K224*0.9</f>
        <v>12206.143125</v>
      </c>
      <c r="L224" s="8">
        <f>'50 изол (каолин)'!L224*0.9</f>
        <v>13720.348125</v>
      </c>
      <c r="M224" s="8">
        <f>'50 изол (каолин)'!M224*0.9</f>
        <v>14729.34375</v>
      </c>
    </row>
    <row r="225" ht="19.5" customHeight="1" spans="1:14">
      <c r="A225" s="89" t="s">
        <v>24</v>
      </c>
      <c r="B225" s="8">
        <f>'50 изол (каолин)'!B225*0.9</f>
        <v>4976.668125</v>
      </c>
      <c r="C225" s="8">
        <f>'50 изол (каолин)'!C225*0.9</f>
        <v>5328.18</v>
      </c>
      <c r="D225" s="88">
        <f>'50 изол (каолин)'!D225*0.9</f>
        <v>5887.468125</v>
      </c>
      <c r="E225" s="8">
        <f>'50 изол (каолин)'!E225*0.9</f>
        <v>6294.481875</v>
      </c>
      <c r="F225" s="8">
        <f>'50 изол (каолин)'!F225*0.9</f>
        <v>6826.730625</v>
      </c>
      <c r="G225" s="88">
        <f>'50 изол (каолин)'!G225*0.9</f>
        <v>7538.293125</v>
      </c>
      <c r="H225" s="8">
        <f>'50 изол (каолин)'!H225*0.9</f>
        <v>8248.4325</v>
      </c>
      <c r="I225" s="8">
        <f>'50 изол (каолин)'!I225*0.9</f>
        <v>8520.249375</v>
      </c>
      <c r="J225" s="88">
        <f>'50 изол (каолин)'!J225*0.9</f>
        <v>9398.3175</v>
      </c>
      <c r="K225" s="8">
        <f>'50 изол (каолин)'!K225*0.9</f>
        <v>11921.518125</v>
      </c>
      <c r="L225" s="8">
        <f>'50 изол (каолин)'!L225*0.9</f>
        <v>13435.723125</v>
      </c>
      <c r="M225" s="8">
        <f>'50 изол (каолин)'!M225*0.9</f>
        <v>14444.71875</v>
      </c>
    </row>
    <row r="226" ht="19.5" customHeight="1" spans="1:14">
      <c r="A226" s="89" t="s">
        <v>26</v>
      </c>
      <c r="B226" s="8">
        <f>'50 изол (каолин)'!B226*0.9</f>
        <v>6231.864375</v>
      </c>
      <c r="C226" s="8">
        <f>'50 изол (каолин)'!C226*0.9</f>
        <v>6825.3075</v>
      </c>
      <c r="D226" s="88">
        <f>'50 изол (каолин)'!D226*0.9</f>
        <v>7353.286875</v>
      </c>
      <c r="E226" s="8">
        <f>'50 изол (каолин)'!E226*0.9</f>
        <v>7919.690625</v>
      </c>
      <c r="F226" s="8">
        <f>'50 изол (каолин)'!F226*0.9</f>
        <v>8241.316875</v>
      </c>
      <c r="G226" s="88">
        <f>'50 изол (каолин)'!G226*0.9</f>
        <v>8864.645625</v>
      </c>
      <c r="H226" s="8">
        <f>'50 изол (каолин)'!H226*0.9</f>
        <v>9261.6975</v>
      </c>
      <c r="I226" s="8">
        <f>'50 изол (каолин)'!I226*0.9</f>
        <v>10125.534375</v>
      </c>
      <c r="J226" s="88">
        <f>'50 изол (каолин)'!J226*0.9</f>
        <v>11232.725625</v>
      </c>
      <c r="K226" s="8">
        <f>'50 изол (каолин)'!K226*0.9</f>
        <v>13911.046875</v>
      </c>
      <c r="L226" s="8">
        <f>'50 изол (каолин)'!L226*0.9</f>
        <v>15517.755</v>
      </c>
      <c r="M226" s="8">
        <f>'50 изол (каолин)'!M226*0.9</f>
        <v>16589.368125</v>
      </c>
    </row>
    <row r="227" ht="19.5" customHeight="1" spans="1:14">
      <c r="A227" s="89" t="s">
        <v>27</v>
      </c>
      <c r="B227" s="8">
        <f>'50 изол (каолин)'!B227*0.9</f>
        <v>8222.81625</v>
      </c>
      <c r="C227" s="8">
        <f>'50 изол (каолин)'!C227*0.9</f>
        <v>8636.945625</v>
      </c>
      <c r="D227" s="88">
        <f>'50 изол (каолин)'!D227*0.9</f>
        <v>8965.6875</v>
      </c>
      <c r="E227" s="8">
        <f>'50 изол (каолин)'!E227*0.9</f>
        <v>9486.55125</v>
      </c>
      <c r="F227" s="8">
        <f>'50 изол (каолин)'!F227*0.9</f>
        <v>10027.33875</v>
      </c>
      <c r="G227" s="88">
        <f>'50 изол (каолин)'!G227*0.9</f>
        <v>10855.5975</v>
      </c>
      <c r="H227" s="8">
        <f>'50 изол (каолин)'!H227*0.9</f>
        <v>11552.92875</v>
      </c>
      <c r="I227" s="8">
        <f>'50 изол (каолин)'!I227*0.9</f>
        <v>13097.019375</v>
      </c>
      <c r="J227" s="88">
        <f>'50 изол (каолин)'!J227*0.9</f>
        <v>15460.83</v>
      </c>
      <c r="K227" s="8">
        <f>'50 изол (каолин)'!K227*0.9</f>
        <v>18719.78625</v>
      </c>
      <c r="L227" s="8">
        <f>'50 изол (каолин)'!L227*0.9</f>
        <v>20675.16</v>
      </c>
      <c r="M227" s="8">
        <f>'50 изол (каолин)'!M227*0.9</f>
        <v>21847.815</v>
      </c>
    </row>
    <row r="228" ht="19.5" customHeight="1" spans="1:14">
      <c r="A228" s="89" t="s">
        <v>70</v>
      </c>
      <c r="B228" s="8">
        <f>'50 изол (каолин)'!B228*0.9</f>
        <v>14682.380625</v>
      </c>
      <c r="C228" s="8">
        <f>'50 изол (каолин)'!C228*0.9</f>
        <v>15181.8975</v>
      </c>
      <c r="D228" s="88">
        <f>'50 изол (каолин)'!D228*0.9</f>
        <v>15598.873125</v>
      </c>
      <c r="E228" s="8">
        <f>'50 изол (каолин)'!E228*0.9</f>
        <v>16069.9275</v>
      </c>
      <c r="F228" s="8">
        <f>'50 изол (каолин)'!F228*0.9</f>
        <v>16597.906875</v>
      </c>
      <c r="G228" s="88">
        <f>'50 изол (каолин)'!G228*0.9</f>
        <v>17767.715625</v>
      </c>
      <c r="H228" s="8">
        <f>'50 изол (каолин)'!H228*0.9</f>
        <v>18405.275625</v>
      </c>
      <c r="I228" s="8">
        <f>'50 изол (каолин)'!I228*0.9</f>
        <v>19784.28375</v>
      </c>
      <c r="J228" s="88">
        <f>'50 изол (каолин)'!J228*0.9</f>
        <v>22116.785625</v>
      </c>
      <c r="K228" s="8">
        <f>'50 изол (каолин)'!K228*0.9</f>
        <v>26171.26875</v>
      </c>
      <c r="L228" s="8">
        <f>'50 изол (каолин)'!L228*0.9</f>
        <v>28603.389375</v>
      </c>
      <c r="M228" s="8">
        <f>'50 изол (каолин)'!M228*0.9</f>
        <v>30063.515625</v>
      </c>
    </row>
    <row r="229" ht="19.5" customHeight="1" spans="1:14">
      <c r="A229" s="89" t="s">
        <v>32</v>
      </c>
      <c r="B229" s="8">
        <f>'50 изол (каолин)'!B229*0.9</f>
        <v>1703.480625</v>
      </c>
      <c r="C229" s="8">
        <f>'50 изол (каолин)'!C229*0.9</f>
        <v>1736.2125</v>
      </c>
      <c r="D229" s="88">
        <f>'50 изол (каолин)'!D229*0.9</f>
        <v>1850.0625</v>
      </c>
      <c r="E229" s="8">
        <f>'50 изол (каолин)'!E229*0.9</f>
        <v>2035.06875</v>
      </c>
      <c r="F229" s="8">
        <f>'50 изол (каолин)'!F229*0.9</f>
        <v>2175.958125</v>
      </c>
      <c r="G229" s="88">
        <f>'50 изол (каолин)'!G229*0.9</f>
        <v>2299.77</v>
      </c>
      <c r="H229" s="8">
        <f>'50 изол (каолин)'!H229*0.9</f>
        <v>2484.77625</v>
      </c>
      <c r="I229" s="8">
        <f>'50 изол (каолин)'!I229*0.9</f>
        <v>2561.625</v>
      </c>
      <c r="J229" s="88">
        <f>'50 изол (каолин)'!J229*0.9</f>
        <v>2846.25</v>
      </c>
      <c r="K229" s="8">
        <f>'50 изол (каолин)'!K229*0.9</f>
        <v>3236.18625</v>
      </c>
      <c r="L229" s="8">
        <f>'50 изол (каолин)'!L229*0.9</f>
        <v>3469.57875</v>
      </c>
      <c r="M229" s="8">
        <f>'50 изол (каолин)'!M229*0.9</f>
        <v>3610.468125</v>
      </c>
    </row>
    <row r="230" ht="19.5" customHeight="1" spans="1:14">
      <c r="A230" s="89" t="s">
        <v>81</v>
      </c>
      <c r="B230" s="8">
        <f>'50 изол (каолин)'!B230*0.9</f>
        <v>4766.045625</v>
      </c>
      <c r="C230" s="8">
        <f>'50 изол (каолин)'!C230*0.9</f>
        <v>4968.129375</v>
      </c>
      <c r="D230" s="88">
        <f>'50 изол (каолин)'!D230*0.9</f>
        <v>5036.439375</v>
      </c>
      <c r="E230" s="8">
        <f>'50 изол (каолин)'!E230*0.9</f>
        <v>5259.87</v>
      </c>
      <c r="F230" s="8">
        <f>'50 изол (каолин)'!F230*0.9</f>
        <v>5498.955</v>
      </c>
      <c r="G230" s="88">
        <f>'50 изол (каолин)'!G230*0.9</f>
        <v>6075.320625</v>
      </c>
      <c r="H230" s="8">
        <f>'50 изол (каолин)'!H230*0.9</f>
        <v>6485.180625</v>
      </c>
      <c r="I230" s="8">
        <f>'50 изол (каолин)'!I230*0.9</f>
        <v>7128.433125</v>
      </c>
      <c r="J230" s="88">
        <f>'50 изол (каолин)'!J230*0.9</f>
        <v>7976.615625</v>
      </c>
      <c r="K230" s="8">
        <f>'50 изол (каолин)'!K230*0.9</f>
        <v>9806.754375</v>
      </c>
      <c r="L230" s="8">
        <f>'50 изол (каолин)'!L230*0.9</f>
        <v>10905.406875</v>
      </c>
      <c r="M230" s="8">
        <f>'50 изол (каолин)'!M230*0.9</f>
        <v>11564.31375</v>
      </c>
    </row>
    <row r="231" ht="19.5" customHeight="1" spans="1:14">
      <c r="A231" s="89" t="s">
        <v>96</v>
      </c>
      <c r="B231" s="8">
        <f>'50 изол (каолин)'!B231*0.9</f>
        <v>6189.170625</v>
      </c>
      <c r="C231" s="8">
        <f>'50 изол (каолин)'!C231*0.9</f>
        <v>6391.254375</v>
      </c>
      <c r="D231" s="88">
        <f>'50 изол (каолин)'!D231*0.9</f>
        <v>6459.564375</v>
      </c>
      <c r="E231" s="8">
        <f>'50 изол (каолин)'!E231*0.9</f>
        <v>6682.995</v>
      </c>
      <c r="F231" s="8">
        <f>'50 изол (каолин)'!F231*0.9</f>
        <v>6922.08</v>
      </c>
      <c r="G231" s="88">
        <f>'50 изол (каолин)'!G231*0.9</f>
        <v>7498.445625</v>
      </c>
      <c r="H231" s="8">
        <f>'50 изол (каолин)'!H231*0.9</f>
        <v>7908.305625</v>
      </c>
      <c r="I231" s="8">
        <f>'50 изол (каолин)'!I231*0.9</f>
        <v>8551.558125</v>
      </c>
      <c r="J231" s="88">
        <f>'50 изол (каолин)'!J231*0.9</f>
        <v>9399.740625</v>
      </c>
      <c r="K231" s="8">
        <f>'50 изол (каолин)'!K231*0.9</f>
        <v>11229.879375</v>
      </c>
      <c r="L231" s="8">
        <f>'50 изол (каолин)'!L231*0.9</f>
        <v>12328.531875</v>
      </c>
      <c r="M231" s="8">
        <f>'50 изол (каолин)'!M231*0.9</f>
        <v>12987.43875</v>
      </c>
    </row>
    <row r="232" ht="19.5" customHeight="1" spans="1:14">
      <c r="A232" s="89" t="s">
        <v>39</v>
      </c>
      <c r="B232" s="8">
        <f>'50 изол (каолин)'!B232*0.9</f>
        <v>4269.375</v>
      </c>
      <c r="C232" s="8">
        <f>'50 изол (каолин)'!C232*0.9</f>
        <v>4825.816875</v>
      </c>
      <c r="D232" s="88">
        <f>'50 изол (каолин)'!D232*0.9</f>
        <v>4894.126875</v>
      </c>
      <c r="E232" s="8">
        <f>'50 изол (каолин)'!E232*0.9</f>
        <v>5117.5575</v>
      </c>
      <c r="F232" s="8">
        <f>'50 изол (каолин)'!F232*0.9</f>
        <v>5356.6425</v>
      </c>
      <c r="G232" s="88">
        <f>'50 изол (каолин)'!G232*0.9</f>
        <v>5790.695625</v>
      </c>
      <c r="H232" s="8">
        <f>'50 изол (каолин)'!H232*0.9</f>
        <v>6058.243125</v>
      </c>
      <c r="I232" s="8">
        <f>'50 изол (каолин)'!I232*0.9</f>
        <v>6559.183125</v>
      </c>
      <c r="J232" s="88">
        <f>'50 изол (каолин)'!J232*0.9</f>
        <v>7260.78375</v>
      </c>
      <c r="K232" s="8">
        <f>'50 изол (каолин)'!K232*0.9</f>
        <v>8952.879375</v>
      </c>
      <c r="L232" s="8">
        <f>'50 изол (каолин)'!L232*0.9</f>
        <v>9967.5675</v>
      </c>
      <c r="M232" s="8">
        <f>'50 изол (каолин)'!M232*0.9</f>
        <v>10576.665</v>
      </c>
    </row>
    <row r="233" ht="19.5" customHeight="1" spans="1:14">
      <c r="A233" s="35"/>
      <c r="B233" s="35"/>
      <c r="C233" s="35"/>
      <c r="D233" s="49"/>
      <c r="E233" s="35"/>
      <c r="F233" s="35"/>
      <c r="G233" s="49"/>
      <c r="H233" s="35"/>
      <c r="I233" s="35"/>
      <c r="J233" s="49"/>
      <c r="K233" s="35"/>
      <c r="L233" s="35"/>
      <c r="M233" s="35"/>
    </row>
    <row r="234" ht="19.5" customHeight="1" spans="1:14">
      <c r="A234" s="82" t="s">
        <v>35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5"/>
    </row>
    <row r="235" ht="19.5" customHeight="1" spans="1:14">
      <c r="A235" s="35"/>
      <c r="B235" s="35"/>
      <c r="C235" s="35"/>
      <c r="D235" s="49"/>
      <c r="E235" s="35"/>
      <c r="F235" s="35"/>
      <c r="G235" s="49"/>
      <c r="H235" s="35"/>
      <c r="I235" s="35"/>
      <c r="J235" s="49"/>
      <c r="K235" s="83" t="s">
        <v>127</v>
      </c>
    </row>
    <row r="236" ht="19.5" customHeight="1" spans="1:14">
      <c r="A236" s="35"/>
      <c r="B236" s="35"/>
      <c r="C236" s="35"/>
      <c r="D236" s="49"/>
      <c r="E236" s="35"/>
      <c r="F236" s="35"/>
      <c r="G236" s="49"/>
      <c r="H236" s="35"/>
      <c r="I236" s="35"/>
      <c r="J236" s="49"/>
    </row>
    <row r="237" ht="19.5" customHeight="1" spans="1:14">
      <c r="A237" s="92" t="s">
        <v>122</v>
      </c>
      <c r="J237" s="49"/>
    </row>
    <row r="238" ht="19.5" customHeight="1" spans="1:14">
      <c r="A238" s="92" t="s">
        <v>101</v>
      </c>
      <c r="J238" s="49"/>
      <c r="K238" s="35"/>
      <c r="L238" s="35"/>
      <c r="M238" s="35"/>
    </row>
    <row r="239" ht="19.5" customHeight="1" spans="1:14">
      <c r="A239" s="85" t="s">
        <v>128</v>
      </c>
    </row>
    <row r="240" ht="27" customHeight="1" spans="1:14">
      <c r="A240" s="17"/>
      <c r="B240" s="86" t="s">
        <v>129</v>
      </c>
      <c r="C240" s="86" t="s">
        <v>130</v>
      </c>
      <c r="D240" s="86" t="s">
        <v>131</v>
      </c>
      <c r="E240" s="86" t="s">
        <v>132</v>
      </c>
      <c r="F240" s="86" t="s">
        <v>133</v>
      </c>
      <c r="G240" s="86" t="s">
        <v>134</v>
      </c>
      <c r="H240" s="86" t="s">
        <v>135</v>
      </c>
      <c r="I240" s="86" t="s">
        <v>136</v>
      </c>
      <c r="J240" s="86" t="s">
        <v>137</v>
      </c>
      <c r="K240" s="86" t="s">
        <v>138</v>
      </c>
      <c r="L240" s="86" t="s">
        <v>139</v>
      </c>
      <c r="M240" s="86" t="s">
        <v>140</v>
      </c>
    </row>
    <row r="241" ht="19.5" customHeight="1" spans="1:13">
      <c r="A241" s="79" t="s">
        <v>68</v>
      </c>
      <c r="B241" s="8">
        <f>'50 изол (каолин)'!B288*0.9</f>
        <v>3593.7</v>
      </c>
      <c r="C241" s="8">
        <f>'50 изол (каолин)'!C288*0.9</f>
        <v>3838.725</v>
      </c>
      <c r="D241" s="88">
        <f>'50 изол (каолин)'!D288*0.9</f>
        <v>4149.09</v>
      </c>
      <c r="E241" s="8">
        <f>'50 изол (каолин)'!E288*0.9</f>
        <v>4315.1625</v>
      </c>
      <c r="F241" s="8">
        <f>'50 изол (каолин)'!F288*0.9</f>
        <v>4737.15</v>
      </c>
      <c r="G241" s="88">
        <f>'50 изол (каолин)'!G288*0.9</f>
        <v>5070.65625</v>
      </c>
      <c r="H241" s="8">
        <f>'50 изол (каолин)'!H288*0.9</f>
        <v>5390.55</v>
      </c>
      <c r="I241" s="8">
        <f>'50 изол (каолин)'!I288*0.9</f>
        <v>5800.28625</v>
      </c>
      <c r="J241" s="88">
        <f>'50 изол (каолин)'!J288*0.9</f>
        <v>6557.14125</v>
      </c>
      <c r="K241" s="8">
        <f>'50 изол (каолин)'!K288*0.9</f>
        <v>7696.5075</v>
      </c>
      <c r="L241" s="8">
        <f>'50 изол (каолин)'!L288*0.9</f>
        <v>8381.21625</v>
      </c>
      <c r="M241" s="8">
        <f>'50 изол (каолин)'!M288*0.9</f>
        <v>8837.235</v>
      </c>
    </row>
    <row r="242" ht="19.5" customHeight="1" spans="1:13">
      <c r="A242" s="79" t="s">
        <v>18</v>
      </c>
      <c r="B242" s="8">
        <f>'50 изол (каолин)'!B289*0.9</f>
        <v>3065.535</v>
      </c>
      <c r="C242" s="8">
        <f>'50 изол (каолин)'!C289*0.9</f>
        <v>3267</v>
      </c>
      <c r="D242" s="88">
        <f>'50 изол (каолин)'!D289*0.9</f>
        <v>3505.21875</v>
      </c>
      <c r="E242" s="8">
        <f>'50 изол (каолин)'!E289*0.9</f>
        <v>3792.4425</v>
      </c>
      <c r="F242" s="8">
        <f>'50 изол (каолин)'!F289*0.9</f>
        <v>4052.44125</v>
      </c>
      <c r="G242" s="88">
        <f>'50 изол (каолин)'!G289*0.9</f>
        <v>4257.99</v>
      </c>
      <c r="H242" s="8">
        <f>'50 изол (каолин)'!H289*0.9</f>
        <v>4372.335</v>
      </c>
      <c r="I242" s="8">
        <f>'50 изол (каолин)'!I289*0.9</f>
        <v>4670.44875</v>
      </c>
      <c r="J242" s="88">
        <f>'50 изол (каолин)'!J289*0.9</f>
        <v>5246.2575</v>
      </c>
      <c r="K242" s="8">
        <f>'50 изол (каолин)'!K289*0.9</f>
        <v>6110.65125</v>
      </c>
      <c r="L242" s="8">
        <f>'50 изол (каолин)'!L289*0.9</f>
        <v>6629.2875</v>
      </c>
      <c r="M242" s="8">
        <f>'50 изол (каолин)'!M289*0.9</f>
        <v>6975.045</v>
      </c>
    </row>
    <row r="243" ht="19.5" customHeight="1" spans="1:13">
      <c r="A243" s="79" t="s">
        <v>19</v>
      </c>
      <c r="B243" s="8">
        <f>'50 изол (каолин)'!B290*0.9</f>
        <v>2514.22875</v>
      </c>
      <c r="C243" s="8">
        <f>'50 изол (каолин)'!C290*0.9</f>
        <v>2684.385</v>
      </c>
      <c r="D243" s="88">
        <f>'50 изол (каолин)'!D290*0.9</f>
        <v>2859.98625</v>
      </c>
      <c r="E243" s="8">
        <f>'50 изол (каолин)'!E290*0.9</f>
        <v>3106.3725</v>
      </c>
      <c r="F243" s="8">
        <f>'50 изол (каолин)'!F290*0.9</f>
        <v>3280.6125</v>
      </c>
      <c r="G243" s="88">
        <f>'50 изол (каолин)'!G290*0.9</f>
        <v>3592.33875</v>
      </c>
      <c r="H243" s="8">
        <f>'50 изол (каолин)'!H290*0.9</f>
        <v>3668.56875</v>
      </c>
      <c r="I243" s="8">
        <f>'50 изол (каолин)'!I290*0.9</f>
        <v>3865.95</v>
      </c>
      <c r="J243" s="88">
        <f>'50 изол (каолин)'!J290*0.9</f>
        <v>4263.435</v>
      </c>
      <c r="K243" s="8">
        <f>'50 изол (каолин)'!K290*0.9</f>
        <v>4850.13375</v>
      </c>
      <c r="L243" s="8">
        <f>'50 изол (каолин)'!L290*0.9</f>
        <v>5201.33625</v>
      </c>
      <c r="M243" s="8">
        <f>'50 изол (каолин)'!M290*0.9</f>
        <v>5436.8325</v>
      </c>
    </row>
    <row r="244" ht="19.5" customHeight="1" spans="1:13">
      <c r="A244" s="79" t="s">
        <v>20</v>
      </c>
      <c r="B244" s="8">
        <f>'50 изол (каолин)'!B291*0.9</f>
        <v>2084.07375</v>
      </c>
      <c r="C244" s="8">
        <f>'50 изол (каолин)'!C291*0.9</f>
        <v>2300.5125</v>
      </c>
      <c r="D244" s="88">
        <f>'50 изол (каолин)'!D291*0.9</f>
        <v>2425.7475</v>
      </c>
      <c r="E244" s="8">
        <f>'50 изол (каолин)'!E291*0.9</f>
        <v>2507.4225</v>
      </c>
      <c r="F244" s="8">
        <f>'50 изол (каолин)'!F291*0.9</f>
        <v>2738.835</v>
      </c>
      <c r="G244" s="88">
        <f>'50 изол (каолин)'!G291*0.9</f>
        <v>2872.2375</v>
      </c>
      <c r="H244" s="8">
        <f>'50 изол (каолин)'!H291*0.9</f>
        <v>2930.77125</v>
      </c>
      <c r="I244" s="8">
        <f>'50 изол (каолин)'!I291*0.9</f>
        <v>3147.21</v>
      </c>
      <c r="J244" s="88">
        <f>'50 изол (каолин)'!J291*0.9</f>
        <v>3439.87875</v>
      </c>
      <c r="K244" s="8">
        <f>'50 изол (каолин)'!K291*0.9</f>
        <v>4213.06875</v>
      </c>
      <c r="L244" s="8">
        <f>'50 изол (каолин)'!L291*0.9</f>
        <v>4579.245</v>
      </c>
      <c r="M244" s="8">
        <f>'50 изол (каолин)'!M291*0.9</f>
        <v>4797.045</v>
      </c>
    </row>
    <row r="245" ht="19.5" customHeight="1" spans="1:13">
      <c r="A245" s="79" t="s">
        <v>21</v>
      </c>
      <c r="B245" s="8">
        <f>'50 изол (каолин)'!B292*0.9</f>
        <v>1675.69875</v>
      </c>
      <c r="C245" s="8">
        <f>'50 изол (каолин)'!C292*0.9</f>
        <v>1863.55125</v>
      </c>
      <c r="D245" s="88">
        <f>'50 изол (каолин)'!D292*0.9</f>
        <v>1949.31</v>
      </c>
      <c r="E245" s="8">
        <f>'50 изол (каолин)'!E292*0.9</f>
        <v>2006.4825</v>
      </c>
      <c r="F245" s="8">
        <f>'50 изол (каолин)'!F292*0.9</f>
        <v>2169.8325</v>
      </c>
      <c r="G245" s="88">
        <f>'50 изол (каолин)'!G292*0.9</f>
        <v>2436.6375</v>
      </c>
      <c r="H245" s="8">
        <f>'50 изол (каолин)'!H292*0.9</f>
        <v>2476.11375</v>
      </c>
      <c r="I245" s="8">
        <f>'50 изол (каолин)'!I292*0.9</f>
        <v>2624.49</v>
      </c>
      <c r="J245" s="88">
        <f>'50 изол (каолин)'!J292*0.9</f>
        <v>2951.19</v>
      </c>
      <c r="K245" s="8">
        <f>'50 изол (каолин)'!K292*0.9</f>
        <v>3396.31875</v>
      </c>
      <c r="L245" s="8">
        <f>'50 изол (каолин)'!L292*0.9</f>
        <v>3661.7625</v>
      </c>
      <c r="M245" s="8">
        <f>'50 изол (каолин)'!M292*0.9</f>
        <v>3822.39</v>
      </c>
    </row>
    <row r="246" ht="19.5" customHeight="1" spans="1:13">
      <c r="A246" s="79" t="s">
        <v>22</v>
      </c>
      <c r="B246" s="8">
        <f>'50 изол (каолин)'!B293*0.9</f>
        <v>1404.81</v>
      </c>
      <c r="C246" s="8">
        <f>'50 изол (каолин)'!C293*0.9</f>
        <v>1583.13375</v>
      </c>
      <c r="D246" s="88">
        <f>'50 изол (каолин)'!D293*0.9</f>
        <v>1633.5</v>
      </c>
      <c r="E246" s="8">
        <f>'50 изол (каолин)'!E293*0.9</f>
        <v>1668.8925</v>
      </c>
      <c r="F246" s="8">
        <f>'50 изол (каолин)'!F293*0.9</f>
        <v>1766.9025</v>
      </c>
      <c r="G246" s="88">
        <f>'50 изол (каолин)'!G293*0.9</f>
        <v>1843.1325</v>
      </c>
      <c r="H246" s="8">
        <f>'50 изол (каолин)'!H293*0.9</f>
        <v>1867.635</v>
      </c>
      <c r="I246" s="8">
        <f>'50 изол (каолин)'!I293*0.9</f>
        <v>1957.4775</v>
      </c>
      <c r="J246" s="88">
        <f>'50 изол (каолин)'!J293*0.9</f>
        <v>2165.74875</v>
      </c>
      <c r="K246" s="8">
        <f>'50 изол (каолин)'!K293*0.9</f>
        <v>2436.6375</v>
      </c>
      <c r="L246" s="8">
        <f>'50 изол (каолин)'!L293*0.9</f>
        <v>2599.9875</v>
      </c>
      <c r="M246" s="8">
        <f>'50 изол (каолин)'!M293*0.9</f>
        <v>2696.63625</v>
      </c>
    </row>
    <row r="247" ht="19.5" customHeight="1" spans="1:13">
      <c r="A247" s="79" t="s">
        <v>23</v>
      </c>
      <c r="B247" s="8">
        <f>'50 изол (каолин)'!B294*0.9</f>
        <v>4132.755</v>
      </c>
      <c r="C247" s="8">
        <f>'50 изол (каолин)'!C294*0.9</f>
        <v>4372.335</v>
      </c>
      <c r="D247" s="88">
        <f>'50 изол (каолин)'!D294*0.9</f>
        <v>4614.6375</v>
      </c>
      <c r="E247" s="8">
        <f>'50 изол (каолин)'!E294*0.9</f>
        <v>4873.275</v>
      </c>
      <c r="F247" s="8">
        <f>'50 изол (каолин)'!F294*0.9</f>
        <v>4954.95</v>
      </c>
      <c r="G247" s="88">
        <f>'50 изол (каолин)'!G294*0.9</f>
        <v>5199.975</v>
      </c>
      <c r="H247" s="8">
        <f>'50 изол (каолин)'!H294*0.9</f>
        <v>5635.575</v>
      </c>
      <c r="I247" s="8">
        <f>'50 изол (каолин)'!I294*0.9</f>
        <v>6288.975</v>
      </c>
      <c r="J247" s="88">
        <f>'50 изол (каолин)'!J294*0.9</f>
        <v>7407.9225</v>
      </c>
      <c r="K247" s="8">
        <f>'50 изол (каолин)'!K294*0.9</f>
        <v>9076.815</v>
      </c>
      <c r="L247" s="8">
        <f>'50 изол (каолин)'!L294*0.9</f>
        <v>10078.695</v>
      </c>
      <c r="M247" s="8">
        <f>'50 изол (каолин)'!M294*0.9</f>
        <v>10747.06875</v>
      </c>
    </row>
    <row r="248" ht="19.5" customHeight="1" spans="1:13">
      <c r="A248" s="79" t="s">
        <v>24</v>
      </c>
      <c r="B248" s="8">
        <f>'50 изол (каолин)'!B295*0.9</f>
        <v>3806.055</v>
      </c>
      <c r="C248" s="8">
        <f>'50 изол (каолин)'!C295*0.9</f>
        <v>4045.635</v>
      </c>
      <c r="D248" s="88">
        <f>'50 изол (каолин)'!D295*0.9</f>
        <v>4287.9375</v>
      </c>
      <c r="E248" s="8">
        <f>'50 изол (каолин)'!E295*0.9</f>
        <v>4546.575</v>
      </c>
      <c r="F248" s="8">
        <f>'50 изол (каолин)'!F295*0.9</f>
        <v>4628.25</v>
      </c>
      <c r="G248" s="88">
        <f>'50 изол (каолин)'!G295*0.9</f>
        <v>4873.275</v>
      </c>
      <c r="H248" s="8">
        <f>'50 изол (каолин)'!H295*0.9</f>
        <v>5308.875</v>
      </c>
      <c r="I248" s="8">
        <f>'50 изол (каолин)'!I295*0.9</f>
        <v>5962.275</v>
      </c>
      <c r="J248" s="88">
        <f>'50 изол (каолин)'!J295*0.9</f>
        <v>7081.2225</v>
      </c>
      <c r="K248" s="8">
        <f>'50 изол (каолин)'!K295*0.9</f>
        <v>8750.115</v>
      </c>
      <c r="L248" s="8">
        <f>'50 изол (каолин)'!L295*0.9</f>
        <v>9751.995</v>
      </c>
      <c r="M248" s="8">
        <f>'50 изол (каолин)'!M295*0.9</f>
        <v>10420.36875</v>
      </c>
    </row>
    <row r="249" ht="19.5" customHeight="1" spans="1:13">
      <c r="A249" s="79" t="s">
        <v>26</v>
      </c>
      <c r="B249" s="8">
        <f>'50 изол (каолин)'!B296*0.9</f>
        <v>5898.29625</v>
      </c>
      <c r="C249" s="8">
        <f>'50 изол (каолин)'!C296*0.9</f>
        <v>6131.07</v>
      </c>
      <c r="D249" s="88">
        <f>'50 изол (каолин)'!D296*0.9</f>
        <v>6479.55</v>
      </c>
      <c r="E249" s="8">
        <f>'50 изол (каолин)'!E296*0.9</f>
        <v>7127.505</v>
      </c>
      <c r="F249" s="8">
        <f>'50 изол (каолин)'!F296*0.9</f>
        <v>7426.98</v>
      </c>
      <c r="G249" s="88">
        <f>'50 изол (каолин)'!G296*0.9</f>
        <v>7940.17125</v>
      </c>
      <c r="H249" s="8">
        <f>'50 изол (каолин)'!H296*0.9</f>
        <v>8402.99625</v>
      </c>
      <c r="I249" s="8">
        <f>'50 изол (каолин)'!I296*0.9</f>
        <v>9377.65125</v>
      </c>
      <c r="J249" s="88">
        <f>'50 изол (каолин)'!J296*0.9</f>
        <v>10021.5225</v>
      </c>
      <c r="K249" s="8">
        <f>'50 изол (каолин)'!K296*0.9</f>
        <v>12373.7625</v>
      </c>
      <c r="L249" s="8">
        <f>'50 изол (каолин)'!L296*0.9</f>
        <v>13785.37875</v>
      </c>
      <c r="M249" s="8">
        <f>'50 изол (каолин)'!M296*0.9</f>
        <v>14726.0025</v>
      </c>
    </row>
    <row r="250" ht="19.5" customHeight="1" spans="1:13">
      <c r="A250" s="79" t="s">
        <v>27</v>
      </c>
      <c r="B250" s="8">
        <f>'50 изол (каолин)'!B297*0.9</f>
        <v>7643.41875</v>
      </c>
      <c r="C250" s="8">
        <f>'50 изол (каолин)'!C297*0.9</f>
        <v>7854.4125</v>
      </c>
      <c r="D250" s="88">
        <f>'50 изол (каолин)'!D297*0.9</f>
        <v>8190.64125</v>
      </c>
      <c r="E250" s="8">
        <f>'50 изол (каолин)'!E297*0.9</f>
        <v>8935.245</v>
      </c>
      <c r="F250" s="8">
        <f>'50 изол (каолин)'!F297*0.9</f>
        <v>9218.385</v>
      </c>
      <c r="G250" s="88">
        <f>'50 изол (каолин)'!G297*0.9</f>
        <v>10227.07125</v>
      </c>
      <c r="H250" s="8">
        <f>'50 изол (каолин)'!H297*0.9</f>
        <v>11066.9625</v>
      </c>
      <c r="I250" s="8">
        <f>'50 изол (каолин)'!I297*0.9</f>
        <v>12038.895</v>
      </c>
      <c r="J250" s="88">
        <f>'50 изол (каолин)'!J297*0.9</f>
        <v>14054.90625</v>
      </c>
      <c r="K250" s="8">
        <f>'50 изол (каолин)'!K297*0.9</f>
        <v>16464.31875</v>
      </c>
      <c r="L250" s="8">
        <f>'50 изол (каолин)'!L297*0.9</f>
        <v>17909.96625</v>
      </c>
      <c r="M250" s="8">
        <f>'50 изол (каолин)'!M297*0.9</f>
        <v>18777.0825</v>
      </c>
    </row>
    <row r="251" ht="19.5" customHeight="1" spans="1:13">
      <c r="A251" s="79" t="s">
        <v>70</v>
      </c>
      <c r="B251" s="8">
        <f>'50 изол (каолин)'!B298*0.9</f>
        <v>14193.75375</v>
      </c>
      <c r="C251" s="8">
        <f>'50 изол (каолин)'!C298*0.9</f>
        <v>14636.16</v>
      </c>
      <c r="D251" s="88">
        <f>'50 изол (каолин)'!D298*0.9</f>
        <v>15009.1425</v>
      </c>
      <c r="E251" s="8">
        <f>'50 изол (каолин)'!E298*0.9</f>
        <v>15425.685</v>
      </c>
      <c r="F251" s="8">
        <f>'50 изол (каолин)'!F298*0.9</f>
        <v>15893.955</v>
      </c>
      <c r="G251" s="88">
        <f>'50 изол (каолин)'!G298*0.9</f>
        <v>16961.175</v>
      </c>
      <c r="H251" s="8">
        <f>'50 изол (каолин)'!H298*0.9</f>
        <v>17526.09375</v>
      </c>
      <c r="I251" s="8">
        <f>'50 изол (каолин)'!I298*0.9</f>
        <v>18744.4125</v>
      </c>
      <c r="J251" s="88">
        <f>'50 изол (каолин)'!J298*0.9</f>
        <v>21021.78375</v>
      </c>
      <c r="K251" s="8">
        <f>'50 изол (каолин)'!K298*0.9</f>
        <v>24788.3625</v>
      </c>
      <c r="L251" s="8">
        <f>'50 изол (каолин)'!L298*0.9</f>
        <v>27049.39875</v>
      </c>
      <c r="M251" s="8">
        <f>'50 изол (каолин)'!M298*0.9</f>
        <v>16661.7</v>
      </c>
    </row>
    <row r="252" ht="19.5" customHeight="1" spans="1:13">
      <c r="A252" s="79" t="s">
        <v>32</v>
      </c>
      <c r="B252" s="8">
        <f>'50 изол (каолин)'!B299*0.9</f>
        <v>1611.72</v>
      </c>
      <c r="C252" s="8">
        <f>'50 изол (каолин)'!C299*0.9</f>
        <v>1647.1125</v>
      </c>
      <c r="D252" s="88">
        <f>'50 изол (каолин)'!D299*0.9</f>
        <v>1764.18</v>
      </c>
      <c r="E252" s="8">
        <f>'50 изол (каолин)'!E299*0.9</f>
        <v>1954.755</v>
      </c>
      <c r="F252" s="8">
        <f>'50 изол (каолин)'!F299*0.9</f>
        <v>2100.40875</v>
      </c>
      <c r="G252" s="88">
        <f>'50 изол (каолин)'!G299*0.9</f>
        <v>2228.36625</v>
      </c>
      <c r="H252" s="8">
        <f>'50 изол (каолин)'!H299*0.9</f>
        <v>2418.94125</v>
      </c>
      <c r="I252" s="8">
        <f>'50 изол (каолин)'!I299*0.9</f>
        <v>2499.255</v>
      </c>
      <c r="J252" s="88">
        <f>'50 изол (каолин)'!J299*0.9</f>
        <v>2793.285</v>
      </c>
      <c r="K252" s="8">
        <f>'50 изол (каолин)'!K299*0.9</f>
        <v>3196.215</v>
      </c>
      <c r="L252" s="8">
        <f>'50 изол (каолин)'!L299*0.9</f>
        <v>3438.5175</v>
      </c>
      <c r="M252" s="8">
        <f>'50 изол (каолин)'!M299*0.9</f>
        <v>3582.81</v>
      </c>
    </row>
    <row r="253" ht="19.5" customHeight="1" spans="1:13">
      <c r="A253" s="79" t="s">
        <v>72</v>
      </c>
      <c r="B253" s="8">
        <f>'50 изол (каолин)'!B300*0.9</f>
        <v>4805.2125</v>
      </c>
      <c r="C253" s="8">
        <f>'50 изол (каолин)'!C300*0.9</f>
        <v>4950.86625</v>
      </c>
      <c r="D253" s="88">
        <f>'50 изол (каолин)'!D300*0.9</f>
        <v>5012.1225</v>
      </c>
      <c r="E253" s="8">
        <f>'50 изол (каолин)'!E300*0.9</f>
        <v>5204.05875</v>
      </c>
      <c r="F253" s="8">
        <f>'50 изол (каолин)'!F300*0.9</f>
        <v>5375.57625</v>
      </c>
      <c r="G253" s="88">
        <f>'50 изол (каолин)'!G300*0.9</f>
        <v>5788.035</v>
      </c>
      <c r="H253" s="8">
        <f>'50 изол (каолин)'!H300*0.9</f>
        <v>5978.61</v>
      </c>
      <c r="I253" s="8">
        <f>'50 изол (каолин)'!I300*0.9</f>
        <v>6396.51375</v>
      </c>
      <c r="J253" s="88">
        <f>'50 изол (каолин)'!J300*0.9</f>
        <v>7180.59375</v>
      </c>
      <c r="K253" s="8">
        <f>'50 изол (каолин)'!K300*0.9</f>
        <v>8662.995</v>
      </c>
      <c r="L253" s="8">
        <f>'50 изол (каолин)'!L300*0.9</f>
        <v>9550.53</v>
      </c>
      <c r="M253" s="8">
        <f>'50 изол (каолин)'!M300*0.9</f>
        <v>10085.50125</v>
      </c>
    </row>
    <row r="254" ht="19.5" customHeight="1" spans="1:13">
      <c r="A254" s="79" t="s">
        <v>73</v>
      </c>
      <c r="B254" s="8">
        <f>'50 изол (каолин)'!B301*0.9</f>
        <v>1813.185</v>
      </c>
      <c r="C254" s="8">
        <f>'50 изол (каолин)'!C301*0.9</f>
        <v>1871.71875</v>
      </c>
      <c r="D254" s="88">
        <f>'50 изол (каолин)'!D301*0.9</f>
        <v>1983.34125</v>
      </c>
      <c r="E254" s="8">
        <f>'50 изол (каолин)'!E301*0.9</f>
        <v>2195.69625</v>
      </c>
      <c r="F254" s="8">
        <f>'50 изол (каолин)'!F301*0.9</f>
        <v>2284.1775</v>
      </c>
      <c r="G254" s="88">
        <f>'50 изол (каолин)'!G301*0.9</f>
        <v>2542.815</v>
      </c>
      <c r="H254" s="8">
        <f>'50 изол (каолин)'!H301*0.9</f>
        <v>2776.95</v>
      </c>
      <c r="I254" s="8">
        <f>'50 изол (каолин)'!I301*0.9</f>
        <v>3178.51875</v>
      </c>
      <c r="J254" s="88">
        <f>'50 изол (каолин)'!J301*0.9</f>
        <v>3439.87875</v>
      </c>
      <c r="K254" s="8">
        <f>'50 изол (каолин)'!K301*0.9</f>
        <v>4072.86</v>
      </c>
      <c r="L254" s="8">
        <f>'50 изол (каолин)'!L301*0.9</f>
        <v>4451.2875</v>
      </c>
      <c r="M254" s="8">
        <f>'50 изол (каолин)'!M301*0.9</f>
        <v>4679.9775</v>
      </c>
    </row>
    <row r="255" ht="19.5" customHeight="1" spans="1:13">
      <c r="A255" s="79" t="s">
        <v>74</v>
      </c>
      <c r="B255" s="8">
        <f>'50 изол (каолин)'!B302*0.9</f>
        <v>2387.6325</v>
      </c>
      <c r="C255" s="8">
        <f>'50 изол (каолин)'!C302*0.9</f>
        <v>2472.03</v>
      </c>
      <c r="D255" s="88">
        <f>'50 изол (каолин)'!D302*0.9</f>
        <v>2760.615</v>
      </c>
      <c r="E255" s="8">
        <f>'50 изол (каолин)'!E302*0.9</f>
        <v>2828.6775</v>
      </c>
      <c r="F255" s="8">
        <f>'50 изол (каолин)'!F302*0.9</f>
        <v>3021.975</v>
      </c>
      <c r="G255" s="88">
        <f>'50 изол (каолин)'!G302*0.9</f>
        <v>3484.8</v>
      </c>
      <c r="H255" s="8">
        <f>'50 изол (каолин)'!H302*0.9</f>
        <v>3657.67875</v>
      </c>
      <c r="I255" s="8">
        <f>'50 изол (каолин)'!I302*0.9</f>
        <v>4017.04875</v>
      </c>
      <c r="J255" s="88">
        <f>'50 изол (каолин)'!J302*0.9</f>
        <v>4305.63375</v>
      </c>
      <c r="K255" s="8">
        <f>'50 изол (каолин)'!K302*0.9</f>
        <v>5242.17375</v>
      </c>
      <c r="L255" s="8">
        <f>'50 изол (каолин)'!L302*0.9</f>
        <v>5804.37</v>
      </c>
      <c r="M255" s="8">
        <f>'50 изол (каолин)'!M302*0.9</f>
        <v>6140.59875</v>
      </c>
    </row>
    <row r="256" ht="19.5" customHeight="1" spans="1:13">
      <c r="A256" s="35"/>
      <c r="B256" s="35"/>
      <c r="C256" s="35"/>
      <c r="D256" s="49"/>
      <c r="E256" s="35"/>
      <c r="F256" s="35"/>
      <c r="G256" s="49"/>
      <c r="H256" s="35"/>
      <c r="I256" s="35"/>
      <c r="J256" s="49"/>
      <c r="K256" s="35"/>
      <c r="L256" s="35"/>
      <c r="M256" s="35"/>
    </row>
    <row r="257" ht="19.5" customHeight="1" spans="1:13">
      <c r="A257" s="82" t="s">
        <v>35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9.5" customHeight="1" spans="1:13">
      <c r="A258" s="35"/>
      <c r="B258" s="35"/>
      <c r="C258" s="35"/>
      <c r="D258" s="49"/>
      <c r="E258" s="35"/>
      <c r="F258" s="35"/>
      <c r="G258" s="49"/>
      <c r="H258" s="35"/>
      <c r="I258" s="35"/>
      <c r="J258" s="49"/>
      <c r="K258" s="83" t="s">
        <v>127</v>
      </c>
    </row>
    <row r="259" ht="19.5" customHeight="1" spans="1:13">
      <c r="A259" s="35"/>
      <c r="B259" s="35"/>
      <c r="C259" s="35"/>
      <c r="D259" s="49"/>
      <c r="E259" s="35"/>
      <c r="F259" s="35"/>
      <c r="G259" s="49"/>
      <c r="H259" s="35"/>
      <c r="I259" s="35"/>
      <c r="J259" s="49"/>
    </row>
    <row r="260" ht="19.5" customHeight="1" spans="1:13">
      <c r="A260" s="92" t="s">
        <v>123</v>
      </c>
      <c r="B260" s="35"/>
      <c r="C260" s="35"/>
      <c r="D260" s="49"/>
      <c r="E260" s="35"/>
      <c r="F260" s="35"/>
      <c r="G260" s="49"/>
      <c r="H260" s="35"/>
      <c r="I260" s="35"/>
      <c r="J260" s="49"/>
    </row>
    <row r="261" ht="19.5" customHeight="1" spans="1:13">
      <c r="A261" s="92" t="s">
        <v>101</v>
      </c>
      <c r="B261" s="35"/>
      <c r="C261" s="35"/>
      <c r="D261" s="49"/>
      <c r="E261" s="35"/>
      <c r="F261" s="35"/>
      <c r="G261" s="49"/>
      <c r="H261" s="35"/>
      <c r="I261" s="35"/>
      <c r="J261" s="49"/>
      <c r="K261" s="35"/>
      <c r="L261" s="35"/>
      <c r="M261" s="35"/>
    </row>
    <row r="262" ht="19.5" customHeight="1" spans="1:13">
      <c r="A262" s="85" t="s">
        <v>128</v>
      </c>
    </row>
    <row r="263" ht="27" customHeight="1" spans="1:13">
      <c r="A263" s="17"/>
      <c r="B263" s="86" t="s">
        <v>129</v>
      </c>
      <c r="C263" s="86" t="s">
        <v>130</v>
      </c>
      <c r="D263" s="86" t="s">
        <v>131</v>
      </c>
      <c r="E263" s="86" t="s">
        <v>132</v>
      </c>
      <c r="F263" s="86" t="s">
        <v>133</v>
      </c>
      <c r="G263" s="86" t="s">
        <v>134</v>
      </c>
      <c r="H263" s="86" t="s">
        <v>135</v>
      </c>
      <c r="I263" s="86" t="s">
        <v>136</v>
      </c>
      <c r="J263" s="86" t="s">
        <v>137</v>
      </c>
      <c r="K263" s="86" t="s">
        <v>138</v>
      </c>
      <c r="L263" s="86" t="s">
        <v>139</v>
      </c>
      <c r="M263" s="86" t="s">
        <v>140</v>
      </c>
    </row>
    <row r="264" ht="19.5" customHeight="1" spans="1:13">
      <c r="A264" s="89" t="s">
        <v>68</v>
      </c>
      <c r="B264" s="8">
        <f>'50 изол (каолин)'!B311*0.9</f>
        <v>4328.775</v>
      </c>
      <c r="C264" s="8">
        <f>'50 изол (каолин)'!C311*0.9</f>
        <v>4541.13</v>
      </c>
      <c r="D264" s="88">
        <f>'50 изол (каолин)'!D311*0.9</f>
        <v>4930.4475</v>
      </c>
      <c r="E264" s="8">
        <f>'50 изол (каолин)'!E311*0.9</f>
        <v>5506.25625</v>
      </c>
      <c r="F264" s="8">
        <f>'50 изол (каолин)'!F311*0.9</f>
        <v>5717.25</v>
      </c>
      <c r="G264" s="88">
        <f>'50 изол (каолин)'!G311*0.9</f>
        <v>5621.9625</v>
      </c>
      <c r="H264" s="8">
        <f>'50 изол (каолин)'!H311*0.9</f>
        <v>7112.53125</v>
      </c>
      <c r="I264" s="8">
        <f>'50 изол (каолин)'!I311*0.9</f>
        <v>7467.8175</v>
      </c>
      <c r="J264" s="88">
        <f>'50 изол (каолин)'!J311*0.9</f>
        <v>7833.99375</v>
      </c>
      <c r="K264" s="8">
        <f>'50 изол (каолин)'!K311*0.9</f>
        <v>9964.35</v>
      </c>
      <c r="L264" s="8">
        <f>'50 изол (каолин)'!L311*0.9</f>
        <v>11241.2025</v>
      </c>
      <c r="M264" s="8">
        <f>'50 изол (каолин)'!M311*0.9</f>
        <v>12094.70625</v>
      </c>
    </row>
    <row r="265" ht="19.5" customHeight="1" spans="1:13">
      <c r="A265" s="89" t="s">
        <v>18</v>
      </c>
      <c r="B265" s="8">
        <f>'50 изол (каолин)'!B312*0.9</f>
        <v>3593.7</v>
      </c>
      <c r="C265" s="8">
        <f>'50 изол (каолин)'!C312*0.9</f>
        <v>3827.835</v>
      </c>
      <c r="D265" s="88">
        <f>'50 изол (каолин)'!D312*0.9</f>
        <v>4195.3725</v>
      </c>
      <c r="E265" s="8">
        <f>'50 изол (каолин)'!E312*0.9</f>
        <v>4737.15</v>
      </c>
      <c r="F265" s="8">
        <f>'50 изол (каолин)'!F312*0.9</f>
        <v>4900.5</v>
      </c>
      <c r="G265" s="88">
        <f>'50 изол (каолин)'!G312*0.9</f>
        <v>5047.515</v>
      </c>
      <c r="H265" s="8">
        <f>'50 изол (каолин)'!H312*0.9</f>
        <v>6050.75625</v>
      </c>
      <c r="I265" s="8">
        <f>'50 изол (каолин)'!I312*0.9</f>
        <v>6370.65</v>
      </c>
      <c r="J265" s="88">
        <f>'50 изол (каолин)'!J312*0.9</f>
        <v>6608.86875</v>
      </c>
      <c r="K265" s="8">
        <f>'50 изол (каолин)'!K312*0.9</f>
        <v>8494.2</v>
      </c>
      <c r="L265" s="8">
        <f>'50 изол (каолин)'!L312*0.9</f>
        <v>9624.0375</v>
      </c>
      <c r="M265" s="8">
        <f>'50 изол (каолин)'!M312*0.9</f>
        <v>10379.53125</v>
      </c>
    </row>
    <row r="266" ht="19.5" customHeight="1" spans="1:13">
      <c r="A266" s="89" t="s">
        <v>19</v>
      </c>
      <c r="B266" s="8">
        <f>'50 изол (каолин)'!B313*0.9</f>
        <v>2982.49875</v>
      </c>
      <c r="C266" s="8">
        <f>'50 изол (каолин)'!C313*0.9</f>
        <v>3103.65</v>
      </c>
      <c r="D266" s="88">
        <f>'50 изол (каолин)'!D313*0.9</f>
        <v>3430.35</v>
      </c>
      <c r="E266" s="8">
        <f>'50 изол (каолин)'!E313*0.9</f>
        <v>3816.945</v>
      </c>
      <c r="F266" s="8">
        <f>'50 изол (каолин)'!F313*0.9</f>
        <v>4002.075</v>
      </c>
      <c r="G266" s="88">
        <f>'50 изол (каолин)'!G313*0.9</f>
        <v>4083.75</v>
      </c>
      <c r="H266" s="8">
        <f>'50 изол (каолин)'!H313*0.9</f>
        <v>4988.98125</v>
      </c>
      <c r="I266" s="8">
        <f>'50 изол (каолин)'!I313*0.9</f>
        <v>5257.1475</v>
      </c>
      <c r="J266" s="88">
        <f>'50 изол (каолин)'!J313*0.9</f>
        <v>5458.6125</v>
      </c>
      <c r="K266" s="8">
        <f>'50 изол (каолин)'!K313*0.9</f>
        <v>7135.6725</v>
      </c>
      <c r="L266" s="8">
        <f>'50 изол (каолин)'!L313*0.9</f>
        <v>8141.63625</v>
      </c>
      <c r="M266" s="8">
        <f>'50 изол (каолин)'!M313*0.9</f>
        <v>8811.37125</v>
      </c>
    </row>
    <row r="267" ht="19.5" customHeight="1" spans="1:13">
      <c r="A267" s="89" t="s">
        <v>20</v>
      </c>
      <c r="B267" s="8">
        <f>'50 изол (каолин)'!B314*0.9</f>
        <v>2403.9675</v>
      </c>
      <c r="C267" s="8">
        <f>'50 изол (каолин)'!C314*0.9</f>
        <v>2452.9725</v>
      </c>
      <c r="D267" s="88">
        <f>'50 изол (каолин)'!D314*0.9</f>
        <v>2714.3325</v>
      </c>
      <c r="E267" s="8">
        <f>'50 изол (каолин)'!E314*0.9</f>
        <v>3204.3825</v>
      </c>
      <c r="F267" s="8">
        <f>'50 изол (каолин)'!F314*0.9</f>
        <v>3321.45</v>
      </c>
      <c r="G267" s="88">
        <f>'50 изол (каолин)'!G314*0.9</f>
        <v>3430.35</v>
      </c>
      <c r="H267" s="8">
        <f>'50 изол (каолин)'!H314*0.9</f>
        <v>3904.065</v>
      </c>
      <c r="I267" s="8">
        <f>'50 изол (каолин)'!I314*0.9</f>
        <v>4206.2625</v>
      </c>
      <c r="J267" s="88">
        <f>'50 изол (каолин)'!J314*0.9</f>
        <v>4816.1025</v>
      </c>
      <c r="K267" s="8">
        <f>'50 изол (каолин)'!K314*0.9</f>
        <v>5657.355</v>
      </c>
      <c r="L267" s="8">
        <f>'50 изол (каолин)'!L314*0.9</f>
        <v>6161.0175</v>
      </c>
      <c r="M267" s="8">
        <f>'50 изол (каолин)'!M314*0.9</f>
        <v>6463.215</v>
      </c>
    </row>
    <row r="268" ht="19.5" customHeight="1" spans="1:13">
      <c r="A268" s="89" t="s">
        <v>21</v>
      </c>
      <c r="B268" s="8">
        <f>'50 изол (каолин)'!B315*0.9</f>
        <v>1960.2</v>
      </c>
      <c r="C268" s="8">
        <f>'50 изол (каолин)'!C315*0.9</f>
        <v>2126.2725</v>
      </c>
      <c r="D268" s="88">
        <f>'50 изол (каолин)'!D315*0.9</f>
        <v>2286.9</v>
      </c>
      <c r="E268" s="8">
        <f>'50 изол (каолин)'!E315*0.9</f>
        <v>2488.365</v>
      </c>
      <c r="F268" s="8">
        <f>'50 изол (каолин)'!F315*0.9</f>
        <v>2717.055</v>
      </c>
      <c r="G268" s="88">
        <f>'50 изол (каолин)'!G315*0.9</f>
        <v>2987.94375</v>
      </c>
      <c r="H268" s="8">
        <f>'50 изол (каолин)'!H315*0.9</f>
        <v>3070.98</v>
      </c>
      <c r="I268" s="8">
        <f>'50 изол (каолин)'!I315*0.9</f>
        <v>3286.0575</v>
      </c>
      <c r="J268" s="88">
        <f>'50 изол (каолин)'!J315*0.9</f>
        <v>3732.5475</v>
      </c>
      <c r="K268" s="8">
        <f>'50 изол (каолин)'!K315*0.9</f>
        <v>4343.74875</v>
      </c>
      <c r="L268" s="8">
        <f>'50 изол (каолин)'!L315*0.9</f>
        <v>4709.925</v>
      </c>
      <c r="M268" s="8">
        <f>'50 изол (каолин)'!M315*0.9</f>
        <v>4930.4475</v>
      </c>
    </row>
    <row r="269" ht="19.5" customHeight="1" spans="1:13">
      <c r="A269" s="89" t="s">
        <v>22</v>
      </c>
      <c r="B269" s="8">
        <f>'50 изол (каолин)'!B316*0.9</f>
        <v>1692.03375</v>
      </c>
      <c r="C269" s="8">
        <f>'50 изол (каолин)'!C316*0.9</f>
        <v>1758.735</v>
      </c>
      <c r="D269" s="88">
        <f>'50 изол (каолин)'!D316*0.9</f>
        <v>1954.755</v>
      </c>
      <c r="E269" s="8">
        <f>'50 изол (каолин)'!E316*0.9</f>
        <v>2002.39875</v>
      </c>
      <c r="F269" s="8">
        <f>'50 изол (каолин)'!F316*0.9</f>
        <v>2139.885</v>
      </c>
      <c r="G269" s="88">
        <f>'50 изол (каолин)'!G316*0.9</f>
        <v>2221.56</v>
      </c>
      <c r="H269" s="8">
        <f>'50 изол (каолин)'!H316*0.9</f>
        <v>2265.12</v>
      </c>
      <c r="I269" s="8">
        <f>'50 изол (каолин)'!I316*0.9</f>
        <v>2387.6325</v>
      </c>
      <c r="J269" s="88">
        <f>'50 изол (каолин)'!J316*0.9</f>
        <v>2661.24375</v>
      </c>
      <c r="K269" s="8">
        <f>'50 изол (каолин)'!K316*0.9</f>
        <v>3031.50375</v>
      </c>
      <c r="L269" s="8">
        <f>'50 изол (каолин)'!L316*0.9</f>
        <v>3253.3875</v>
      </c>
      <c r="M269" s="8">
        <f>'50 изол (каолин)'!M316*0.9</f>
        <v>3388.15125</v>
      </c>
    </row>
    <row r="270" ht="19.5" customHeight="1" spans="1:13">
      <c r="A270" s="89" t="s">
        <v>23</v>
      </c>
      <c r="B270" s="8">
        <f>'50 изол (каолин)'!B317*0.9</f>
        <v>4588.77375</v>
      </c>
      <c r="C270" s="8">
        <f>'50 изол (каолин)'!C317*0.9</f>
        <v>5017.5675</v>
      </c>
      <c r="D270" s="88">
        <f>'50 изол (каолин)'!D317*0.9</f>
        <v>5611.0725</v>
      </c>
      <c r="E270" s="8">
        <f>'50 изол (каолин)'!E317*0.9</f>
        <v>6067.09125</v>
      </c>
      <c r="F270" s="8">
        <f>'50 изол (каолин)'!F317*0.9</f>
        <v>6671.48625</v>
      </c>
      <c r="G270" s="88">
        <f>'50 изол (каолин)'!G317*0.9</f>
        <v>7466.45625</v>
      </c>
      <c r="H270" s="8">
        <f>'50 изол (каолин)'!H317*0.9</f>
        <v>8268.2325</v>
      </c>
      <c r="I270" s="8">
        <f>'50 изол (каолин)'!I317*0.9</f>
        <v>8559.54</v>
      </c>
      <c r="J270" s="88">
        <f>'50 изол (каолин)'!J317*0.9</f>
        <v>9630.84375</v>
      </c>
      <c r="K270" s="8">
        <f>'50 изол (каолин)'!K317*0.9</f>
        <v>12464.96625</v>
      </c>
      <c r="L270" s="8">
        <f>'50 изол (каолин)'!L317*0.9</f>
        <v>14165.1675</v>
      </c>
      <c r="M270" s="8">
        <f>'50 изол (каолин)'!M317*0.9</f>
        <v>15299.08875</v>
      </c>
    </row>
    <row r="271" ht="19.5" customHeight="1" spans="1:13">
      <c r="A271" s="89" t="s">
        <v>24</v>
      </c>
      <c r="B271" s="8">
        <f>'50 изол (каолин)'!B318*0.9</f>
        <v>4262.07375</v>
      </c>
      <c r="C271" s="8">
        <f>'50 изол (каолин)'!C318*0.9</f>
        <v>4690.8675</v>
      </c>
      <c r="D271" s="88">
        <f>'50 изол (каолин)'!D318*0.9</f>
        <v>5284.3725</v>
      </c>
      <c r="E271" s="8">
        <f>'50 изол (каолин)'!E318*0.9</f>
        <v>5740.39125</v>
      </c>
      <c r="F271" s="8">
        <f>'50 изол (каолин)'!F318*0.9</f>
        <v>6344.78625</v>
      </c>
      <c r="G271" s="88">
        <f>'50 изол (каолин)'!G318*0.9</f>
        <v>7139.75625</v>
      </c>
      <c r="H271" s="8">
        <f>'50 изол (каолин)'!H318*0.9</f>
        <v>7941.5325</v>
      </c>
      <c r="I271" s="8">
        <f>'50 изол (каолин)'!I318*0.9</f>
        <v>8232.84</v>
      </c>
      <c r="J271" s="88">
        <f>'50 изол (каолин)'!J318*0.9</f>
        <v>9304.14375</v>
      </c>
      <c r="K271" s="8">
        <f>'50 изол (каолин)'!K318*0.9</f>
        <v>12138.26625</v>
      </c>
      <c r="L271" s="8">
        <f>'50 изол (каолин)'!L318*0.9</f>
        <v>13838.4675</v>
      </c>
      <c r="M271" s="8">
        <f>'50 изол (каолин)'!M318*0.9</f>
        <v>14972.38875</v>
      </c>
    </row>
    <row r="272" ht="19.5" customHeight="1" spans="1:13">
      <c r="A272" s="89" t="s">
        <v>26</v>
      </c>
      <c r="B272" s="8">
        <f>'50 изол (каолин)'!B319*0.9</f>
        <v>6618.3975</v>
      </c>
      <c r="C272" s="8">
        <f>'50 изол (каолин)'!C319*0.9</f>
        <v>7120.69875</v>
      </c>
      <c r="D272" s="88">
        <f>'50 изол (каолин)'!D319*0.9</f>
        <v>7710.12</v>
      </c>
      <c r="E272" s="8">
        <f>'50 изол (каолин)'!E319*0.9</f>
        <v>8341.74</v>
      </c>
      <c r="F272" s="8">
        <f>'50 изол (каолин)'!F319*0.9</f>
        <v>8754.19875</v>
      </c>
      <c r="G272" s="88">
        <f>'50 изол (каолин)'!G319*0.9</f>
        <v>9434.82375</v>
      </c>
      <c r="H272" s="8">
        <f>'50 изол (каолин)'!H319*0.9</f>
        <v>9840.47625</v>
      </c>
      <c r="I272" s="8">
        <f>'50 изол (каолин)'!I319*0.9</f>
        <v>10755.23625</v>
      </c>
      <c r="J272" s="88">
        <f>'50 изол (каолин)'!J319*0.9</f>
        <v>12063.3975</v>
      </c>
      <c r="K272" s="8">
        <f>'50 изол (каолин)'!K319*0.9</f>
        <v>13573.02375</v>
      </c>
      <c r="L272" s="8">
        <f>'50 изол (каолин)'!L319*0.9</f>
        <v>13511.7675</v>
      </c>
      <c r="M272" s="8">
        <f>'50 изол (каолин)'!M319*0.9</f>
        <v>14645.68875</v>
      </c>
    </row>
    <row r="273" ht="19.5" customHeight="1" spans="1:13">
      <c r="A273" s="89" t="s">
        <v>27</v>
      </c>
      <c r="B273" s="8">
        <f>'50 изол (каолин)'!B320*0.9</f>
        <v>8810.01</v>
      </c>
      <c r="C273" s="8">
        <f>'50 изол (каолин)'!C320*0.9</f>
        <v>9346.3425</v>
      </c>
      <c r="D273" s="88">
        <f>'50 изол (каолин)'!D320*0.9</f>
        <v>9651.2625</v>
      </c>
      <c r="E273" s="8">
        <f>'50 изол (каолин)'!E320*0.9</f>
        <v>10233.8775</v>
      </c>
      <c r="F273" s="8">
        <f>'50 изол (каолин)'!F320*0.9</f>
        <v>10699.425</v>
      </c>
      <c r="G273" s="88">
        <f>'50 изол (каолин)'!G320*0.9</f>
        <v>11831.985</v>
      </c>
      <c r="H273" s="8">
        <f>'50 изол (каолин)'!H320*0.9</f>
        <v>12564.3375</v>
      </c>
      <c r="I273" s="8">
        <f>'50 изол (каолин)'!I320*0.9</f>
        <v>14195.115</v>
      </c>
      <c r="J273" s="88">
        <f>'50 изол (каолин)'!J320*0.9</f>
        <v>16890.39</v>
      </c>
      <c r="K273" s="8">
        <f>'50 изол (каолин)'!K320*0.9</f>
        <v>20492.2575</v>
      </c>
      <c r="L273" s="8">
        <f>'50 изол (каолин)'!L320*0.9</f>
        <v>22653.9225</v>
      </c>
      <c r="M273" s="8">
        <f>'50 изол (каолин)'!M320*0.9</f>
        <v>23949.8325</v>
      </c>
    </row>
    <row r="274" ht="19.5" customHeight="1" spans="1:13">
      <c r="A274" s="89" t="s">
        <v>70</v>
      </c>
      <c r="B274" s="8">
        <f>'50 изол (каолин)'!B321*0.9</f>
        <v>16254.68625</v>
      </c>
      <c r="C274" s="8">
        <f>'50 изол (каолин)'!C321*0.9</f>
        <v>16782.85125</v>
      </c>
      <c r="D274" s="88">
        <f>'50 изол (каолин)'!D321*0.9</f>
        <v>17214.3675</v>
      </c>
      <c r="E274" s="8">
        <f>'50 изол (каолин)'!E321*0.9</f>
        <v>17704.4175</v>
      </c>
      <c r="F274" s="8">
        <f>'50 изол (каолин)'!F321*0.9</f>
        <v>18259.8075</v>
      </c>
      <c r="G274" s="88">
        <f>'50 изол (каолин)'!G321*0.9</f>
        <v>19514.88</v>
      </c>
      <c r="H274" s="8">
        <f>'50 изол (каолин)'!H321*0.9</f>
        <v>20191.42125</v>
      </c>
      <c r="I274" s="8">
        <f>'50 изол (каолин)'!I321*0.9</f>
        <v>21657.4875</v>
      </c>
      <c r="J274" s="88">
        <f>'50 изол (каолин)'!J321*0.9</f>
        <v>24164.91</v>
      </c>
      <c r="K274" s="8">
        <f>'50 изол (каолин)'!K321*0.9</f>
        <v>28407.92625</v>
      </c>
      <c r="L274" s="8">
        <f>'50 изол (каолин)'!L321*0.9</f>
        <v>30954.825</v>
      </c>
      <c r="M274" s="8">
        <f>'50 изол (каолин)'!M321*0.9</f>
        <v>32482.1475</v>
      </c>
    </row>
    <row r="275" ht="19.5" customHeight="1" spans="1:13">
      <c r="A275" s="89" t="s">
        <v>32</v>
      </c>
      <c r="B275" s="8">
        <f>'50 изол (каолин)'!B322*0.9</f>
        <v>1900.305</v>
      </c>
      <c r="C275" s="8">
        <f>'50 изол (каолин)'!C322*0.9</f>
        <v>1937.05875</v>
      </c>
      <c r="D275" s="88">
        <f>'50 изол (каолин)'!D322*0.9</f>
        <v>1977.89625</v>
      </c>
      <c r="E275" s="8">
        <f>'50 изол (каолин)'!E322*0.9</f>
        <v>2179.36125</v>
      </c>
      <c r="F275" s="8">
        <f>'50 изол (каолин)'!F322*0.9</f>
        <v>2379.465</v>
      </c>
      <c r="G275" s="88">
        <f>'50 изол (каолин)'!G322*0.9</f>
        <v>2489.72625</v>
      </c>
      <c r="H275" s="8">
        <f>'50 изол (каолин)'!H322*0.9</f>
        <v>2695.275</v>
      </c>
      <c r="I275" s="8">
        <f>'50 изол (каолин)'!I322*0.9</f>
        <v>2782.395</v>
      </c>
      <c r="J275" s="88">
        <f>'50 изол (каолин)'!J322*0.9</f>
        <v>3068.2575</v>
      </c>
      <c r="K275" s="8">
        <f>'50 изол (каолин)'!K322*0.9</f>
        <v>3412.65375</v>
      </c>
      <c r="L275" s="8">
        <f>'50 изол (каолин)'!L322*0.9</f>
        <v>3619.56375</v>
      </c>
      <c r="M275" s="8">
        <f>'50 изол (каолин)'!M322*0.9</f>
        <v>3743.4375</v>
      </c>
    </row>
    <row r="276" ht="19.5" customHeight="1" spans="1:13">
      <c r="A276" s="89" t="s">
        <v>81</v>
      </c>
      <c r="B276" s="8">
        <f>'50 изол (каолин)'!B323*0.9</f>
        <v>5382.3825</v>
      </c>
      <c r="C276" s="8">
        <f>'50 изол (каолин)'!C323*0.9</f>
        <v>5560.70625</v>
      </c>
      <c r="D276" s="88">
        <f>'50 изол (каолин)'!D323*0.9</f>
        <v>5611.0725</v>
      </c>
      <c r="E276" s="8">
        <f>'50 изол (каолин)'!E323*0.9</f>
        <v>5823.4275</v>
      </c>
      <c r="F276" s="8">
        <f>'50 изол (каолин)'!F323*0.9</f>
        <v>6033.06</v>
      </c>
      <c r="G276" s="88">
        <f>'50 изол (каолин)'!G323*0.9</f>
        <v>6622.48125</v>
      </c>
      <c r="H276" s="8">
        <f>'50 изол (каолин)'!H323*0.9</f>
        <v>7154.73</v>
      </c>
      <c r="I276" s="8">
        <f>'50 изол (каолин)'!I323*0.9</f>
        <v>7700.59125</v>
      </c>
      <c r="J276" s="88">
        <f>'50 изол (каолин)'!J323*0.9</f>
        <v>8494.2</v>
      </c>
      <c r="K276" s="8">
        <f>'50 изол (каолин)'!K323*0.9</f>
        <v>10666.755</v>
      </c>
      <c r="L276" s="8">
        <f>'50 изол (каолин)'!L323*0.9</f>
        <v>11970.8325</v>
      </c>
      <c r="M276" s="8">
        <f>'50 изол (каолин)'!M323*0.9</f>
        <v>12752.19</v>
      </c>
    </row>
    <row r="277" ht="19.5" customHeight="1" spans="1:13">
      <c r="A277" s="89" t="s">
        <v>82</v>
      </c>
      <c r="B277" s="8">
        <f>'50 изол (каолин)'!B324*0.9</f>
        <v>6558.5025</v>
      </c>
      <c r="C277" s="8">
        <f>'50 изол (каолин)'!C324*0.9</f>
        <v>6813.05625</v>
      </c>
      <c r="D277" s="88">
        <f>'50 изол (каолин)'!D324*0.9</f>
        <v>6862.06125</v>
      </c>
      <c r="E277" s="8">
        <f>'50 изол (каолин)'!E324*0.9</f>
        <v>7161.53625</v>
      </c>
      <c r="F277" s="8">
        <f>'50 изол (каолин)'!F324*0.9</f>
        <v>7456.9275</v>
      </c>
      <c r="G277" s="88">
        <f>'50 изол (каолин)'!G324*0.9</f>
        <v>8035.45875</v>
      </c>
      <c r="H277" s="8">
        <f>'50 изол (каолин)'!H324*0.9</f>
        <v>8347.185</v>
      </c>
      <c r="I277" s="8">
        <f>'50 изол (каолин)'!I324*0.9</f>
        <v>9014.1975</v>
      </c>
      <c r="J277" s="88">
        <f>'50 изол (каолин)'!J324*0.9</f>
        <v>10054.1925</v>
      </c>
      <c r="K277" s="8">
        <f>'50 изол (каолин)'!K324*0.9</f>
        <v>12326.11875</v>
      </c>
      <c r="L277" s="8">
        <f>'50 изол (каолин)'!L324*0.9</f>
        <v>13690.09125</v>
      </c>
      <c r="M277" s="8">
        <f>'50 изол (каолин)'!M324*0.9</f>
        <v>14506.84125</v>
      </c>
    </row>
    <row r="278" ht="19.5" customHeight="1" spans="1:13">
      <c r="A278" s="89" t="s">
        <v>39</v>
      </c>
      <c r="B278" s="8">
        <f>'50 изол (каолин)'!B325*0.9</f>
        <v>4459.455</v>
      </c>
      <c r="C278" s="8">
        <f>'50 изол (каолин)'!C325*0.9</f>
        <v>4517.98875</v>
      </c>
      <c r="D278" s="88">
        <f>'50 изол (каолин)'!D325*0.9</f>
        <v>4647.3075</v>
      </c>
      <c r="E278" s="8">
        <f>'50 изол (каолин)'!E325*0.9</f>
        <v>5089.71375</v>
      </c>
      <c r="F278" s="8">
        <f>'50 изол (каолин)'!F325*0.9</f>
        <v>5379.66</v>
      </c>
      <c r="G278" s="88">
        <f>'50 изол (каолин)'!G325*0.9</f>
        <v>5831.595</v>
      </c>
      <c r="H278" s="8">
        <f>'50 изол (каолин)'!H325*0.9</f>
        <v>5914.63125</v>
      </c>
      <c r="I278" s="8">
        <f>'50 изол (каолин)'!I325*0.9</f>
        <v>6141.96</v>
      </c>
      <c r="J278" s="88">
        <f>'50 изол (каолин)'!J325*0.9</f>
        <v>6637.455</v>
      </c>
      <c r="K278" s="8">
        <f>'50 изол (каолин)'!K325*0.9</f>
        <v>7760.48625</v>
      </c>
      <c r="L278" s="8">
        <f>'50 изол (каолин)'!L325*0.9</f>
        <v>8435.66625</v>
      </c>
      <c r="M278" s="8">
        <f>'50 изол (каолин)'!M325*0.9</f>
        <v>8838.59625</v>
      </c>
    </row>
    <row r="279" ht="19.5" customHeight="1" spans="1:13">
      <c r="A279" s="35"/>
      <c r="B279" s="35"/>
      <c r="C279" s="35"/>
      <c r="D279" s="49"/>
      <c r="E279" s="35"/>
      <c r="F279" s="35"/>
      <c r="G279" s="49"/>
      <c r="H279" s="35"/>
      <c r="I279" s="35"/>
      <c r="J279" s="49"/>
      <c r="K279" s="35"/>
      <c r="L279" s="35"/>
      <c r="M279" s="35"/>
    </row>
    <row r="280" ht="19.5" customHeight="1" spans="1:13">
      <c r="A280" s="82" t="s">
        <v>35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9.5" customHeight="1" spans="1:13">
      <c r="A281" s="35"/>
      <c r="B281" s="35"/>
      <c r="C281" s="35"/>
      <c r="D281" s="49"/>
      <c r="E281" s="35"/>
      <c r="F281" s="35"/>
      <c r="G281" s="49"/>
      <c r="H281" s="35"/>
      <c r="I281" s="35"/>
      <c r="J281" s="49"/>
      <c r="K281" s="83" t="s">
        <v>127</v>
      </c>
    </row>
    <row r="282" ht="19.5" customHeight="1" spans="1:13">
      <c r="A282" s="35"/>
      <c r="B282" s="35"/>
      <c r="C282" s="35"/>
      <c r="D282" s="49"/>
      <c r="E282" s="35"/>
      <c r="F282" s="35"/>
      <c r="G282" s="49"/>
      <c r="H282" s="35"/>
      <c r="I282" s="35"/>
      <c r="J282" s="49"/>
    </row>
    <row r="283" ht="19.5" customHeight="1" spans="1:13">
      <c r="A283" s="92" t="s">
        <v>122</v>
      </c>
      <c r="B283" s="35"/>
      <c r="C283" s="35"/>
      <c r="D283" s="49"/>
      <c r="E283" s="35"/>
      <c r="F283" s="35"/>
      <c r="G283" s="49"/>
      <c r="H283" s="35"/>
      <c r="I283" s="35"/>
      <c r="J283" s="49"/>
    </row>
    <row r="284" ht="19.5" customHeight="1" spans="1:13">
      <c r="A284" s="92" t="s">
        <v>118</v>
      </c>
      <c r="B284" s="35"/>
      <c r="C284" s="35"/>
      <c r="D284" s="49"/>
      <c r="E284" s="35"/>
      <c r="F284" s="35"/>
      <c r="G284" s="49"/>
      <c r="H284" s="35"/>
      <c r="I284" s="35"/>
      <c r="J284" s="49"/>
      <c r="K284" s="35"/>
      <c r="L284" s="35"/>
      <c r="M284" s="35"/>
    </row>
    <row r="285" ht="19.5" customHeight="1" spans="1:13">
      <c r="A285" s="85" t="s">
        <v>128</v>
      </c>
    </row>
    <row r="286" ht="27" customHeight="1" spans="1:13">
      <c r="A286" s="17"/>
      <c r="B286" s="86" t="s">
        <v>129</v>
      </c>
      <c r="C286" s="86" t="s">
        <v>130</v>
      </c>
      <c r="D286" s="86" t="s">
        <v>131</v>
      </c>
      <c r="E286" s="86" t="s">
        <v>132</v>
      </c>
      <c r="F286" s="86" t="s">
        <v>133</v>
      </c>
      <c r="G286" s="86" t="s">
        <v>134</v>
      </c>
      <c r="H286" s="86" t="s">
        <v>135</v>
      </c>
      <c r="I286" s="86" t="s">
        <v>136</v>
      </c>
      <c r="J286" s="86" t="s">
        <v>137</v>
      </c>
      <c r="K286" s="86" t="s">
        <v>138</v>
      </c>
      <c r="L286" s="86" t="s">
        <v>139</v>
      </c>
      <c r="M286" s="86" t="s">
        <v>140</v>
      </c>
    </row>
    <row r="287" ht="19.5" customHeight="1" spans="1:13">
      <c r="A287" s="89" t="s">
        <v>68</v>
      </c>
      <c r="B287" s="8">
        <f>'50 изол (каолин)'!B334*0.9</f>
        <v>4706.274375</v>
      </c>
      <c r="C287" s="8">
        <f>'50 изол (каолин)'!C334*0.9</f>
        <v>4784.54625</v>
      </c>
      <c r="D287" s="88">
        <f>'50 изол (каолин)'!D334*0.9</f>
        <v>5128.9425</v>
      </c>
      <c r="E287" s="8">
        <f>'50 изол (каолин)'!E334*0.9</f>
        <v>5543.071875</v>
      </c>
      <c r="F287" s="8">
        <f>'50 изол (каолин)'!F334*0.9</f>
        <v>5977.125</v>
      </c>
      <c r="G287" s="88">
        <f>'50 изол (каолин)'!G334*0.9</f>
        <v>6233.2875</v>
      </c>
      <c r="H287" s="8">
        <f>'50 изол (каолин)'!H334*0.9</f>
        <v>6537.83625</v>
      </c>
      <c r="I287" s="8">
        <f>'50 изол (каолин)'!I334*0.9</f>
        <v>7172.55</v>
      </c>
      <c r="J287" s="88">
        <f>'50 изол (каолин)'!J334*0.9</f>
        <v>7855.65</v>
      </c>
      <c r="K287" s="8">
        <f>'50 изол (каолин)'!K334*0.9</f>
        <v>9563.4</v>
      </c>
      <c r="L287" s="8">
        <f>'50 изол (каолин)'!L334*0.9</f>
        <v>11014.9875</v>
      </c>
      <c r="M287" s="8">
        <f>'50 изол (каолин)'!M334*0.9</f>
        <v>11271.15</v>
      </c>
    </row>
    <row r="288" ht="19.5" customHeight="1" spans="1:13">
      <c r="A288" s="89" t="s">
        <v>18</v>
      </c>
      <c r="B288" s="8">
        <f>'50 изол (каолин)'!B335*0.9</f>
        <v>3858.091875</v>
      </c>
      <c r="C288" s="8">
        <f>'50 изол (каолин)'!C335*0.9</f>
        <v>4151.255625</v>
      </c>
      <c r="D288" s="88">
        <f>'50 изол (каолин)'!D335*0.9</f>
        <v>4507.036875</v>
      </c>
      <c r="E288" s="8">
        <f>'50 изол (каолин)'!E335*0.9</f>
        <v>4821.5475</v>
      </c>
      <c r="F288" s="8">
        <f>'50 изол (каолин)'!F335*0.9</f>
        <v>5107.595625</v>
      </c>
      <c r="G288" s="88">
        <f>'50 изол (каолин)'!G335*0.9</f>
        <v>5352.373125</v>
      </c>
      <c r="H288" s="8">
        <f>'50 изол (каолин)'!H335*0.9</f>
        <v>5658.345</v>
      </c>
      <c r="I288" s="8">
        <f>'50 изол (каолин)'!I335*0.9</f>
        <v>6463.83375</v>
      </c>
      <c r="J288" s="88">
        <f>'50 изол (каолин)'!J335*0.9</f>
        <v>6653.109375</v>
      </c>
      <c r="K288" s="8">
        <f>'50 изол (каолин)'!K335*0.9</f>
        <v>8197.2</v>
      </c>
      <c r="L288" s="8">
        <f>'50 изол (каолин)'!L335*0.9</f>
        <v>8914.455</v>
      </c>
      <c r="M288" s="8">
        <f>'50 изол (каолин)'!M335*0.9</f>
        <v>9433.895625</v>
      </c>
    </row>
    <row r="289" ht="19.5" customHeight="1" spans="1:13">
      <c r="A289" s="89" t="s">
        <v>19</v>
      </c>
      <c r="B289" s="8">
        <f>'50 изол (каолин)'!B336*0.9</f>
        <v>3005.64</v>
      </c>
      <c r="C289" s="8">
        <f>'50 изол (каолин)'!C336*0.9</f>
        <v>3258.95625</v>
      </c>
      <c r="D289" s="88">
        <f>'50 изол (каолин)'!D336*0.9</f>
        <v>3552.12</v>
      </c>
      <c r="E289" s="8">
        <f>'50 изол (каолин)'!E336*0.9</f>
        <v>3818.244375</v>
      </c>
      <c r="F289" s="8">
        <f>'50 изол (каолин)'!F336*0.9</f>
        <v>4181.14125</v>
      </c>
      <c r="G289" s="88">
        <f>'50 изол (каолин)'!G336*0.9</f>
        <v>4440.15</v>
      </c>
      <c r="H289" s="8">
        <f>'50 изол (каолин)'!H336*0.9</f>
        <v>4616.6175</v>
      </c>
      <c r="I289" s="8">
        <f>'50 изол (каолин)'!I336*0.9</f>
        <v>5013.669375</v>
      </c>
      <c r="J289" s="88">
        <f>'50 изол (каолин)'!J336*0.9</f>
        <v>5464.8</v>
      </c>
      <c r="K289" s="8">
        <f>'50 изол (каолин)'!K336*0.9</f>
        <v>6916.3875</v>
      </c>
      <c r="L289" s="8">
        <f>'50 изол (каолин)'!L336*0.9</f>
        <v>7377.48</v>
      </c>
      <c r="M289" s="8">
        <f>'50 изол (каолин)'!M336*0.9</f>
        <v>7855.65</v>
      </c>
    </row>
    <row r="290" ht="19.5" customHeight="1" spans="1:13">
      <c r="A290" s="89" t="s">
        <v>20</v>
      </c>
      <c r="B290" s="8">
        <f>'50 изол (каолин)'!B337*0.9</f>
        <v>2494.738125</v>
      </c>
      <c r="C290" s="8">
        <f>'50 изол (каолин)'!C337*0.9</f>
        <v>2722.438125</v>
      </c>
      <c r="D290" s="88">
        <f>'50 изол (каолин)'!D337*0.9</f>
        <v>2978.600625</v>
      </c>
      <c r="E290" s="8">
        <f>'50 изол (каолин)'!E337*0.9</f>
        <v>3217.685625</v>
      </c>
      <c r="F290" s="8">
        <f>'50 изол (каолин)'!F337*0.9</f>
        <v>3466.7325</v>
      </c>
      <c r="G290" s="88">
        <f>'50 изол (каолин)'!G337*0.9</f>
        <v>3586.275</v>
      </c>
      <c r="H290" s="8">
        <f>'50 изол (каолин)'!H337*0.9</f>
        <v>3771.28125</v>
      </c>
      <c r="I290" s="8">
        <f>'50 изол (каолин)'!I337*0.9</f>
        <v>4038.82875</v>
      </c>
      <c r="J290" s="88">
        <f>'50 изол (каолин)'!J337*0.9</f>
        <v>4440.15</v>
      </c>
      <c r="K290" s="8">
        <f>'50 изол (каолин)'!K337*0.9</f>
        <v>5348.10375</v>
      </c>
      <c r="L290" s="8">
        <f>'50 изол (каолин)'!L337*0.9</f>
        <v>5893.160625</v>
      </c>
      <c r="M290" s="8">
        <f>'50 изол (каолин)'!M337*0.9</f>
        <v>6257.480625</v>
      </c>
    </row>
    <row r="291" ht="19.5" customHeight="1" spans="1:13">
      <c r="A291" s="89" t="s">
        <v>21</v>
      </c>
      <c r="B291" s="8">
        <f>'50 изол (каолин)'!B338*0.9</f>
        <v>2366.656875</v>
      </c>
      <c r="C291" s="8">
        <f>'50 изол (каолин)'!C338*0.9</f>
        <v>2396.5425</v>
      </c>
      <c r="D291" s="88">
        <f>'50 изол (каолин)'!D338*0.9</f>
        <v>2499.0075</v>
      </c>
      <c r="E291" s="8">
        <f>'50 изол (каолин)'!E338*0.9</f>
        <v>2571.586875</v>
      </c>
      <c r="F291" s="8">
        <f>'50 изол (каолин)'!F338*0.9</f>
        <v>2763.70875</v>
      </c>
      <c r="G291" s="88">
        <f>'50 изол (каолин)'!G338*0.9</f>
        <v>2897.4825</v>
      </c>
      <c r="H291" s="8">
        <f>'50 изол (каолин)'!H338*0.9</f>
        <v>2955.830625</v>
      </c>
      <c r="I291" s="8">
        <f>'50 изол (каолин)'!I338*0.9</f>
        <v>3147.9525</v>
      </c>
      <c r="J291" s="88">
        <f>'50 изол (каолин)'!J338*0.9</f>
        <v>3563.505</v>
      </c>
      <c r="K291" s="8">
        <f>'50 изол (каолин)'!K338*0.9</f>
        <v>4101.44625</v>
      </c>
      <c r="L291" s="8">
        <f>'50 изол (каолин)'!L338*0.9</f>
        <v>4424.495625</v>
      </c>
      <c r="M291" s="8">
        <f>'50 изол (каолин)'!M338*0.9</f>
        <v>4639.3875</v>
      </c>
    </row>
    <row r="292" ht="19.5" customHeight="1" spans="1:13">
      <c r="A292" s="89" t="s">
        <v>22</v>
      </c>
      <c r="B292" s="8">
        <f>'50 изол (каолин)'!B339*0.9</f>
        <v>1804.5225</v>
      </c>
      <c r="C292" s="8">
        <f>'50 изол (каолин)'!C339*0.9</f>
        <v>1821.6</v>
      </c>
      <c r="D292" s="88">
        <f>'50 изол (каолин)'!D339*0.9</f>
        <v>1881.37125</v>
      </c>
      <c r="E292" s="8">
        <f>'50 изол (каолин)'!E339*0.9</f>
        <v>1926.91125</v>
      </c>
      <c r="F292" s="8">
        <f>'50 изол (каолин)'!F339*0.9</f>
        <v>2037.915</v>
      </c>
      <c r="G292" s="88">
        <f>'50 изол (каолин)'!G339*0.9</f>
        <v>2131.84125</v>
      </c>
      <c r="H292" s="8">
        <f>'50 изол (каолин)'!H339*0.9</f>
        <v>2165.99625</v>
      </c>
      <c r="I292" s="8">
        <f>'50 изол (каолин)'!I339*0.9</f>
        <v>2427.85125</v>
      </c>
      <c r="J292" s="88">
        <f>'50 изол (каолин)'!J339*0.9</f>
        <v>2691.129375</v>
      </c>
      <c r="K292" s="8">
        <f>'50 изол (каолин)'!K339*0.9</f>
        <v>3022.7175</v>
      </c>
      <c r="L292" s="8">
        <f>'50 изол (каолин)'!L339*0.9</f>
        <v>3220.531875</v>
      </c>
      <c r="M292" s="8">
        <f>'50 изол (каолин)'!M339*0.9</f>
        <v>3354.305625</v>
      </c>
    </row>
    <row r="293" ht="19.5" customHeight="1" spans="1:13">
      <c r="A293" s="89" t="s">
        <v>23</v>
      </c>
      <c r="B293" s="8">
        <f>'50 изол (каолин)'!B340*0.9</f>
        <v>5325.33375</v>
      </c>
      <c r="C293" s="8">
        <f>'50 изол (каолин)'!C340*0.9</f>
        <v>5757.96375</v>
      </c>
      <c r="D293" s="88">
        <f>'50 изол (каолин)'!D340*0.9</f>
        <v>6022.665</v>
      </c>
      <c r="E293" s="8">
        <f>'50 изол (каолин)'!E340*0.9</f>
        <v>6645.99375</v>
      </c>
      <c r="F293" s="8">
        <f>'50 изол (каолин)'!F340*0.9</f>
        <v>7080.046875</v>
      </c>
      <c r="G293" s="88">
        <f>'50 изол (каолин)'!G340*0.9</f>
        <v>7528.33125</v>
      </c>
      <c r="H293" s="8">
        <f>'50 изол (каолин)'!H340*0.9</f>
        <v>7912.575</v>
      </c>
      <c r="I293" s="8">
        <f>'50 изол (каолин)'!I340*0.9</f>
        <v>8921.570625</v>
      </c>
      <c r="J293" s="88">
        <f>'50 изол (каолин)'!J340*0.9</f>
        <v>9907.79625</v>
      </c>
      <c r="K293" s="8">
        <f>'50 изол (каолин)'!K340*0.9</f>
        <v>12425.304375</v>
      </c>
      <c r="L293" s="8">
        <f>'50 изол (каолин)'!L340*0.9</f>
        <v>13696.155</v>
      </c>
      <c r="M293" s="8">
        <f>'50 изол (каолин)'!M340*0.9</f>
        <v>14347.94625</v>
      </c>
    </row>
    <row r="294" ht="19.5" customHeight="1" spans="1:13">
      <c r="A294" s="89" t="s">
        <v>24</v>
      </c>
      <c r="B294" s="8">
        <f>'50 изол (каолин)'!B341*0.9</f>
        <v>4983.78375</v>
      </c>
      <c r="C294" s="8">
        <f>'50 изол (каолин)'!C341*0.9</f>
        <v>5416.41375</v>
      </c>
      <c r="D294" s="88">
        <f>'50 изол (каолин)'!D341*0.9</f>
        <v>5681.115</v>
      </c>
      <c r="E294" s="8">
        <f>'50 изол (каолин)'!E341*0.9</f>
        <v>6304.44375</v>
      </c>
      <c r="F294" s="8">
        <f>'50 изол (каолин)'!F341*0.9</f>
        <v>6738.496875</v>
      </c>
      <c r="G294" s="88">
        <f>'50 изол (каолин)'!G341*0.9</f>
        <v>7186.78125</v>
      </c>
      <c r="H294" s="8">
        <f>'50 изол (каолин)'!H341*0.9</f>
        <v>7613.71875</v>
      </c>
      <c r="I294" s="8">
        <f>'50 изол (каолин)'!I341*0.9</f>
        <v>8580.020625</v>
      </c>
      <c r="J294" s="88">
        <f>'50 изол (каолин)'!J341*0.9</f>
        <v>9566.24625</v>
      </c>
      <c r="K294" s="8">
        <f>'50 изол (каолин)'!K341*0.9</f>
        <v>12083.754375</v>
      </c>
      <c r="L294" s="8">
        <f>'50 изол (каолин)'!L341*0.9</f>
        <v>13354.605</v>
      </c>
      <c r="M294" s="8">
        <f>'50 изол (каолин)'!M341*0.9</f>
        <v>14006.39625</v>
      </c>
    </row>
    <row r="295" ht="19.5" customHeight="1" spans="1:13">
      <c r="A295" s="89" t="s">
        <v>26</v>
      </c>
      <c r="B295" s="8">
        <f>'50 изол (каолин)'!B342*0.9</f>
        <v>6386.985</v>
      </c>
      <c r="C295" s="8">
        <f>'50 изол (каолин)'!C342*0.9</f>
        <v>6816.76875</v>
      </c>
      <c r="D295" s="88">
        <f>'50 изол (каолин)'!D342*0.9</f>
        <v>7371.7875</v>
      </c>
      <c r="E295" s="8">
        <f>'50 изол (каолин)'!E342*0.9</f>
        <v>8296.81875</v>
      </c>
      <c r="F295" s="8">
        <f>'50 изол (каолин)'!F342*0.9</f>
        <v>8399.28375</v>
      </c>
      <c r="G295" s="88">
        <f>'50 изол (каолин)'!G342*0.9</f>
        <v>8965.6875</v>
      </c>
      <c r="H295" s="8">
        <f>'50 изол (каолин)'!H342*0.9</f>
        <v>9469.47375</v>
      </c>
      <c r="I295" s="8">
        <f>'50 изол (каолин)'!I342*0.9</f>
        <v>10531.125</v>
      </c>
      <c r="J295" s="88">
        <f>'50 изол (каолин)'!J342*0.9</f>
        <v>11439.07875</v>
      </c>
      <c r="K295" s="8">
        <f>'50 изол (каолин)'!K342*0.9</f>
        <v>14047.666875</v>
      </c>
      <c r="L295" s="8">
        <f>'50 изол (каолин)'!L342*0.9</f>
        <v>15614.5275</v>
      </c>
      <c r="M295" s="8">
        <f>'50 изол (каолин)'!M342*0.9</f>
        <v>16657.678125</v>
      </c>
    </row>
    <row r="296" ht="19.5" customHeight="1" spans="1:13">
      <c r="A296" s="89" t="s">
        <v>27</v>
      </c>
      <c r="B296" s="8">
        <f>'50 изол (каолин)'!B343*0.9</f>
        <v>8634.099375</v>
      </c>
      <c r="C296" s="8">
        <f>'50 изол (каолин)'!C343*0.9</f>
        <v>9075.268125</v>
      </c>
      <c r="D296" s="88">
        <f>'50 изол (каолин)'!D343*0.9</f>
        <v>9483.705</v>
      </c>
      <c r="E296" s="8">
        <f>'50 изол (каолин)'!E343*0.9</f>
        <v>10159.689375</v>
      </c>
      <c r="F296" s="8">
        <f>'50 изол (каолин)'!F343*0.9</f>
        <v>10690.515</v>
      </c>
      <c r="G296" s="88">
        <f>'50 изол (каолин)'!G343*0.9</f>
        <v>11857.4775</v>
      </c>
      <c r="H296" s="8">
        <f>'50 изол (каолин)'!H343*0.9</f>
        <v>13143.9825</v>
      </c>
      <c r="I296" s="8">
        <f>'50 изол (каолин)'!I343*0.9</f>
        <v>14480.296875</v>
      </c>
      <c r="J296" s="88">
        <f>'50 изол (каолин)'!J343*0.9</f>
        <v>16605.0225</v>
      </c>
      <c r="K296" s="8">
        <f>'50 изол (каолин)'!K343*0.9</f>
        <v>19610.6625</v>
      </c>
      <c r="L296" s="8">
        <f>'50 изол (каолин)'!L343*0.9</f>
        <v>21413.761875</v>
      </c>
      <c r="M296" s="8">
        <f>'50 изол (каолин)'!M343*0.9</f>
        <v>22496.76</v>
      </c>
    </row>
    <row r="297" ht="19.5" customHeight="1" spans="1:13">
      <c r="A297" s="89" t="s">
        <v>70</v>
      </c>
      <c r="B297" s="8">
        <f>'50 изол (каолин)'!B344*0.9</f>
        <v>15620.22</v>
      </c>
      <c r="C297" s="8">
        <f>'50 изол (каолин)'!C344*0.9</f>
        <v>16145.353125</v>
      </c>
      <c r="D297" s="88">
        <f>'50 изол (каолин)'!D344*0.9</f>
        <v>16596.48375</v>
      </c>
      <c r="E297" s="8">
        <f>'50 изол (каолин)'!E344*0.9</f>
        <v>17096.000625</v>
      </c>
      <c r="F297" s="8">
        <f>'50 изол (каолин)'!F344*0.9</f>
        <v>17652.4425</v>
      </c>
      <c r="G297" s="88">
        <f>'50 изол (каолин)'!G344*0.9</f>
        <v>18880.599375</v>
      </c>
      <c r="H297" s="8">
        <f>'50 изол (каолин)'!H344*0.9</f>
        <v>19543.775625</v>
      </c>
      <c r="I297" s="8">
        <f>'50 изол (каолин)'!I344*0.9</f>
        <v>20971.17</v>
      </c>
      <c r="J297" s="88">
        <f>'50 изол (каолин)'!J344*0.9</f>
        <v>23569.79625</v>
      </c>
      <c r="K297" s="8">
        <f>'50 изол (каолин)'!K344*0.9</f>
        <v>28039.831875</v>
      </c>
      <c r="L297" s="8">
        <f>'50 изол (каолин)'!L344*0.9</f>
        <v>30720.999375</v>
      </c>
      <c r="M297" s="8">
        <f>'50 изол (каолин)'!M344*0.9</f>
        <v>32585.293125</v>
      </c>
    </row>
    <row r="298" ht="19.5" customHeight="1" spans="1:13">
      <c r="A298" s="89" t="s">
        <v>71</v>
      </c>
      <c r="B298" s="8">
        <f>'50 изол (каолин)'!B345*0.9</f>
        <v>1872.8325</v>
      </c>
      <c r="C298" s="8">
        <f>'50 изол (каолин)'!C345*0.9</f>
        <v>1912.68</v>
      </c>
      <c r="D298" s="88">
        <f>'50 изол (каолин)'!D345*0.9</f>
        <v>2049.3</v>
      </c>
      <c r="E298" s="8">
        <f>'50 изол (каолин)'!E345*0.9</f>
        <v>2271.3075</v>
      </c>
      <c r="F298" s="8">
        <f>'50 изол (каолин)'!F345*0.9</f>
        <v>2440.659375</v>
      </c>
      <c r="G298" s="88">
        <f>'50 изол (каолин)'!G345*0.9</f>
        <v>2588.664375</v>
      </c>
      <c r="H298" s="8">
        <f>'50 изол (каолин)'!H345*0.9</f>
        <v>2810.671875</v>
      </c>
      <c r="I298" s="8">
        <f>'50 изол (каолин)'!I345*0.9</f>
        <v>2903.175</v>
      </c>
      <c r="J298" s="88">
        <f>'50 изол (каолин)'!J345*0.9</f>
        <v>3244.725</v>
      </c>
      <c r="K298" s="8">
        <f>'50 изол (каолин)'!K345*0.9</f>
        <v>3712.933125</v>
      </c>
      <c r="L298" s="8">
        <f>'50 изол (каолин)'!L345*0.9</f>
        <v>3993.28875</v>
      </c>
      <c r="M298" s="8">
        <f>'50 изол (каолин)'!M345*0.9</f>
        <v>4161.2175</v>
      </c>
    </row>
    <row r="299" ht="19.5" customHeight="1" spans="1:13">
      <c r="A299" s="89" t="s">
        <v>72</v>
      </c>
      <c r="B299" s="8">
        <f>'50 изол (каолин)'!B346*0.9</f>
        <v>5245.63875</v>
      </c>
      <c r="C299" s="8">
        <f>'50 изол (каолин)'!C346*0.9</f>
        <v>5407.875</v>
      </c>
      <c r="D299" s="88">
        <f>'50 изол (каолин)'!D346*0.9</f>
        <v>5483.300625</v>
      </c>
      <c r="E299" s="8">
        <f>'50 изол (каолин)'!E346*0.9</f>
        <v>5695.34625</v>
      </c>
      <c r="F299" s="8">
        <f>'50 изол (каолин)'!F346*0.9</f>
        <v>5884.621875</v>
      </c>
      <c r="G299" s="88">
        <f>'50 изол (каолин)'!G346*0.9</f>
        <v>6337.175625</v>
      </c>
      <c r="H299" s="8">
        <f>'50 изол (каолин)'!H346*0.9</f>
        <v>6547.798125</v>
      </c>
      <c r="I299" s="8">
        <f>'50 изол (каолин)'!I346*0.9</f>
        <v>7008.890625</v>
      </c>
      <c r="J299" s="88">
        <f>'50 изол (каолин)'!J346*0.9</f>
        <v>7862.765625</v>
      </c>
      <c r="K299" s="8">
        <f>'50 изол (каолин)'!K346*0.9</f>
        <v>9485.128125</v>
      </c>
      <c r="L299" s="8">
        <f>'50 изол (каолин)'!L346*0.9</f>
        <v>10458.545625</v>
      </c>
      <c r="M299" s="8">
        <f>'50 изол (каолин)'!M346*0.9</f>
        <v>11042.026875</v>
      </c>
    </row>
    <row r="300" ht="19.5" customHeight="1" spans="1:13">
      <c r="A300" s="89" t="s">
        <v>73</v>
      </c>
      <c r="B300" s="8">
        <f>'50 изол (каолин)'!B347*0.9</f>
        <v>2126.14875</v>
      </c>
      <c r="C300" s="8">
        <f>'50 изол (каолин)'!C347*0.9</f>
        <v>2214.3825</v>
      </c>
      <c r="D300" s="88">
        <f>'50 изол (каолин)'!D347*0.9</f>
        <v>2372.349375</v>
      </c>
      <c r="E300" s="8">
        <f>'50 изол (каолин)'!E347*0.9</f>
        <v>2501.85375</v>
      </c>
      <c r="F300" s="8">
        <f>'50 изол (каолин)'!F347*0.9</f>
        <v>2595.78</v>
      </c>
      <c r="G300" s="88">
        <f>'50 изол (каолин)'!G347*0.9</f>
        <v>2910.290625</v>
      </c>
      <c r="H300" s="8">
        <f>'50 изол (каолин)'!H347*0.9</f>
        <v>3115.220625</v>
      </c>
      <c r="I300" s="8">
        <f>'50 изол (каолин)'!I347*0.9</f>
        <v>3627.545625</v>
      </c>
      <c r="J300" s="88">
        <f>'50 изол (каолин)'!J347*0.9</f>
        <v>3934.940625</v>
      </c>
      <c r="K300" s="8">
        <f>'50 изол (каолин)'!K347*0.9</f>
        <v>4825.816875</v>
      </c>
      <c r="L300" s="8">
        <f>'50 изол (каолин)'!L347*0.9</f>
        <v>5360.911875</v>
      </c>
      <c r="M300" s="8">
        <f>'50 изол (каолин)'!M347*0.9</f>
        <v>5681.115</v>
      </c>
    </row>
    <row r="301" ht="19.5" customHeight="1" spans="1:13">
      <c r="A301" s="89" t="s">
        <v>74</v>
      </c>
      <c r="B301" s="8">
        <f>'50 изол (каолин)'!B348*0.9</f>
        <v>2684.01375</v>
      </c>
      <c r="C301" s="8">
        <f>'50 изол (каолин)'!C348*0.9</f>
        <v>2817.7875</v>
      </c>
      <c r="D301" s="88">
        <f>'50 изол (каолин)'!D348*0.9</f>
        <v>3005.64</v>
      </c>
      <c r="E301" s="8">
        <f>'50 изол (каолин)'!E348*0.9</f>
        <v>3113.7975</v>
      </c>
      <c r="F301" s="8">
        <f>'50 изол (каолин)'!F348*0.9</f>
        <v>3280.303125</v>
      </c>
      <c r="G301" s="88">
        <f>'50 изол (каолин)'!G348*0.9</f>
        <v>3819.6675</v>
      </c>
      <c r="H301" s="8">
        <f>'50 изол (каолин)'!H348*0.9</f>
        <v>4075.83</v>
      </c>
      <c r="I301" s="8">
        <f>'50 изол (каолин)'!I348*0.9</f>
        <v>4524.114375</v>
      </c>
      <c r="J301" s="88">
        <f>'50 изол (каолин)'!J348*0.9</f>
        <v>5044.978125</v>
      </c>
      <c r="K301" s="8">
        <f>'50 изол (каолин)'!K348*0.9</f>
        <v>6055.396875</v>
      </c>
      <c r="L301" s="8">
        <f>'50 изол (каолин)'!L348*0.9</f>
        <v>6661.648125</v>
      </c>
      <c r="M301" s="8">
        <f>'50 изол (каолин)'!M348*0.9</f>
        <v>7025.968125</v>
      </c>
    </row>
    <row r="302" ht="19.5" customHeight="1" spans="1:13">
      <c r="A302" s="89" t="s">
        <v>77</v>
      </c>
      <c r="B302" s="8">
        <f>'50 изол (каолин)'!B349*0.9</f>
        <v>3543.58125</v>
      </c>
      <c r="C302" s="8">
        <f>'50 изол (каолин)'!C349*0.9</f>
        <v>3637.5075</v>
      </c>
      <c r="D302" s="88">
        <f>'50 изол (каолин)'!D349*0.9</f>
        <v>3933.5175</v>
      </c>
      <c r="E302" s="8">
        <f>'50 изол (каолин)'!E349*0.9</f>
        <v>4269.375</v>
      </c>
      <c r="F302" s="8">
        <f>'50 изол (каолин)'!F349*0.9</f>
        <v>4525.5375</v>
      </c>
      <c r="G302" s="88">
        <f>'50 изол (каолин)'!G349*0.9</f>
        <v>5121.826875</v>
      </c>
      <c r="H302" s="8">
        <f>'50 изол (каолин)'!H349*0.9</f>
        <v>5595.7275</v>
      </c>
      <c r="I302" s="8">
        <f>'50 изол (каолин)'!I349*0.9</f>
        <v>6071.05125</v>
      </c>
      <c r="J302" s="88">
        <f>'50 изол (каолин)'!J349*0.9</f>
        <v>6640.30125</v>
      </c>
      <c r="K302" s="8">
        <f>'50 изол (каолин)'!K349*0.9</f>
        <v>8060.58</v>
      </c>
      <c r="L302" s="8">
        <f>'50 изол (каолин)'!L349*0.9</f>
        <v>8913.031875</v>
      </c>
      <c r="M302" s="8">
        <f>'50 изол (каолин)'!M349*0.9</f>
        <v>9480.85875</v>
      </c>
    </row>
    <row r="303" ht="19.5" customHeight="1" spans="1:13">
      <c r="A303" s="35"/>
      <c r="B303" s="35"/>
      <c r="C303" s="35"/>
      <c r="D303" s="49"/>
      <c r="E303" s="35"/>
      <c r="F303" s="35"/>
      <c r="G303" s="49"/>
      <c r="H303" s="35"/>
      <c r="I303" s="35"/>
      <c r="J303" s="49"/>
      <c r="K303" s="35"/>
      <c r="L303" s="35"/>
      <c r="M303" s="35"/>
    </row>
    <row r="304" ht="19.5" customHeight="1" spans="1:13">
      <c r="A304" s="82" t="s">
        <v>35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9.5" customHeight="1" spans="1:13">
      <c r="A305" s="35"/>
      <c r="B305" s="35"/>
      <c r="C305" s="35"/>
      <c r="D305" s="49"/>
      <c r="E305" s="35"/>
      <c r="F305" s="35"/>
      <c r="G305" s="49"/>
      <c r="H305" s="35"/>
      <c r="I305" s="35"/>
      <c r="J305" s="49"/>
      <c r="K305" s="83" t="s">
        <v>127</v>
      </c>
    </row>
    <row r="306" ht="19.5" customHeight="1" spans="1:13">
      <c r="A306" s="35"/>
      <c r="B306" s="35"/>
      <c r="C306" s="35"/>
      <c r="D306" s="49"/>
      <c r="E306" s="35"/>
      <c r="F306" s="35"/>
      <c r="G306" s="49"/>
      <c r="H306" s="35"/>
      <c r="I306" s="35"/>
      <c r="J306" s="49"/>
    </row>
    <row r="307" ht="19.5" customHeight="1" spans="1:13">
      <c r="A307" s="92" t="s">
        <v>123</v>
      </c>
      <c r="B307" s="35"/>
      <c r="C307" s="35"/>
      <c r="D307" s="49"/>
      <c r="E307" s="35"/>
      <c r="F307" s="35"/>
      <c r="G307" s="49"/>
      <c r="H307" s="35"/>
      <c r="I307" s="35"/>
      <c r="J307" s="49"/>
    </row>
    <row r="308" ht="19.5" customHeight="1" spans="1:13">
      <c r="A308" s="92" t="s">
        <v>118</v>
      </c>
      <c r="B308" s="35"/>
      <c r="C308" s="35"/>
      <c r="D308" s="49"/>
      <c r="E308" s="35"/>
      <c r="F308" s="35"/>
      <c r="G308" s="49"/>
      <c r="H308" s="35"/>
      <c r="I308" s="35"/>
      <c r="J308" s="49"/>
      <c r="K308" s="35"/>
      <c r="L308" s="35"/>
      <c r="M308" s="35"/>
    </row>
    <row r="309" ht="19.5" customHeight="1" spans="1:13">
      <c r="A309" s="85" t="s">
        <v>128</v>
      </c>
    </row>
    <row r="310" ht="27" customHeight="1" spans="1:13">
      <c r="A310" s="17"/>
      <c r="B310" s="86" t="s">
        <v>129</v>
      </c>
      <c r="C310" s="86" t="s">
        <v>130</v>
      </c>
      <c r="D310" s="86" t="s">
        <v>131</v>
      </c>
      <c r="E310" s="86" t="s">
        <v>132</v>
      </c>
      <c r="F310" s="86" t="s">
        <v>133</v>
      </c>
      <c r="G310" s="86" t="s">
        <v>134</v>
      </c>
      <c r="H310" s="86" t="s">
        <v>135</v>
      </c>
      <c r="I310" s="86" t="s">
        <v>136</v>
      </c>
      <c r="J310" s="86" t="s">
        <v>137</v>
      </c>
      <c r="K310" s="86" t="s">
        <v>138</v>
      </c>
      <c r="L310" s="86" t="s">
        <v>139</v>
      </c>
      <c r="M310" s="86" t="s">
        <v>140</v>
      </c>
    </row>
    <row r="311" ht="19.5" customHeight="1" spans="1:13">
      <c r="A311" s="89" t="s">
        <v>68</v>
      </c>
      <c r="B311" s="8">
        <f>'50 изол (каолин)'!B358*0.9</f>
        <v>5453.415</v>
      </c>
      <c r="C311" s="8">
        <f>'50 изол (каолин)'!C358*0.9</f>
        <v>5934.43125</v>
      </c>
      <c r="D311" s="88">
        <f>'50 изол (каолин)'!D358*0.9</f>
        <v>6318.675</v>
      </c>
      <c r="E311" s="8">
        <f>'50 изол (каолин)'!E358*0.9</f>
        <v>6848.0775</v>
      </c>
      <c r="F311" s="8">
        <f>'50 изол (каолин)'!F358*0.9</f>
        <v>7263.63</v>
      </c>
      <c r="G311" s="88">
        <f>'50 изол (каолин)'!G358*0.9</f>
        <v>7580.986875</v>
      </c>
      <c r="H311" s="8">
        <f>'50 изол (каолин)'!H358*0.9</f>
        <v>8311.05</v>
      </c>
      <c r="I311" s="8">
        <f>'50 изол (каолин)'!I358*0.9</f>
        <v>9076.69125</v>
      </c>
      <c r="J311" s="88">
        <f>'50 изол (каолин)'!J358*0.9</f>
        <v>9759.79125</v>
      </c>
      <c r="K311" s="8">
        <f>'50 изол (каолин)'!K358*0.9</f>
        <v>12466.575</v>
      </c>
      <c r="L311" s="8">
        <f>'50 изол (каолин)'!L358*0.9</f>
        <v>13662</v>
      </c>
      <c r="M311" s="8">
        <f>'50 изол (каолин)'!M358*0.9</f>
        <v>14686.65</v>
      </c>
    </row>
    <row r="312" ht="19.5" customHeight="1" spans="1:13">
      <c r="A312" s="89" t="s">
        <v>18</v>
      </c>
      <c r="B312" s="8">
        <f>'50 изол (каолин)'!B359*0.9</f>
        <v>4704.85125</v>
      </c>
      <c r="C312" s="8">
        <f>'50 изол (каолин)'!C359*0.9</f>
        <v>5019.361875</v>
      </c>
      <c r="D312" s="88">
        <f>'50 изол (каолин)'!D359*0.9</f>
        <v>5464.8</v>
      </c>
      <c r="E312" s="8">
        <f>'50 изол (каолин)'!E359*0.9</f>
        <v>5790.695625</v>
      </c>
      <c r="F312" s="8">
        <f>'50 изол (каолин)'!F359*0.9</f>
        <v>6147.9</v>
      </c>
      <c r="G312" s="88">
        <f>'50 изол (каолин)'!G359*0.9</f>
        <v>6307.29</v>
      </c>
      <c r="H312" s="8">
        <f>'50 изол (каолин)'!H359*0.9</f>
        <v>7155.4725</v>
      </c>
      <c r="I312" s="8">
        <f>'50 изол (каолин)'!I359*0.9</f>
        <v>7942.460625</v>
      </c>
      <c r="J312" s="88">
        <f>'50 изол (каолин)'!J359*0.9</f>
        <v>8197.2</v>
      </c>
      <c r="K312" s="8">
        <f>'50 изол (каолин)'!K359*0.9</f>
        <v>10588.05</v>
      </c>
      <c r="L312" s="8">
        <f>'50 изол (каолин)'!L359*0.9</f>
        <v>11612.7</v>
      </c>
      <c r="M312" s="8">
        <f>'50 изол (каолин)'!M359*0.9</f>
        <v>12551.9625</v>
      </c>
    </row>
    <row r="313" ht="19.5" customHeight="1" spans="1:13">
      <c r="A313" s="89" t="s">
        <v>19</v>
      </c>
      <c r="B313" s="8">
        <f>'50 изол (каолин)'!B360*0.9</f>
        <v>3839.59125</v>
      </c>
      <c r="C313" s="8">
        <f>'50 изол (каолин)'!C360*0.9</f>
        <v>4105.715625</v>
      </c>
      <c r="D313" s="88">
        <f>'50 изол (каолин)'!D360*0.9</f>
        <v>4440.15</v>
      </c>
      <c r="E313" s="8">
        <f>'50 изол (каолин)'!E360*0.9</f>
        <v>4731.890625</v>
      </c>
      <c r="F313" s="8">
        <f>'50 изол (каолин)'!F360*0.9</f>
        <v>5023.63125</v>
      </c>
      <c r="G313" s="88">
        <f>'50 изол (каолин)'!G360*0.9</f>
        <v>5547.34125</v>
      </c>
      <c r="H313" s="8">
        <f>'50 изол (каолин)'!H360*0.9</f>
        <v>5826.27375</v>
      </c>
      <c r="I313" s="8">
        <f>'50 изол (каолин)'!I360*0.9</f>
        <v>6465.256875</v>
      </c>
      <c r="J313" s="88">
        <f>'50 изол (каолин)'!J360*0.9</f>
        <v>6831</v>
      </c>
      <c r="K313" s="8">
        <f>'50 изол (каолин)'!K360*0.9</f>
        <v>8762.180625</v>
      </c>
      <c r="L313" s="8">
        <f>'50 изол (каолин)'!L360*0.9</f>
        <v>9667.288125</v>
      </c>
      <c r="M313" s="8">
        <f>'50 изол (каолин)'!M360*0.9</f>
        <v>10270.693125</v>
      </c>
    </row>
    <row r="314" ht="19.5" customHeight="1" spans="1:13">
      <c r="A314" s="89" t="s">
        <v>20</v>
      </c>
      <c r="B314" s="8">
        <f>'50 изол (каолин)'!B361*0.9</f>
        <v>3503.73375</v>
      </c>
      <c r="C314" s="8">
        <f>'50 изол (каолин)'!C361*0.9</f>
        <v>3586.275</v>
      </c>
      <c r="D314" s="88">
        <f>'50 изол (каолин)'!D361*0.9</f>
        <v>3789.781875</v>
      </c>
      <c r="E314" s="8">
        <f>'50 изол (каолин)'!E361*0.9</f>
        <v>3930.67125</v>
      </c>
      <c r="F314" s="8">
        <f>'50 изол (каолин)'!F361*0.9</f>
        <v>4303.53</v>
      </c>
      <c r="G314" s="88">
        <f>'50 изол (каолин)'!G361*0.9</f>
        <v>4485.69</v>
      </c>
      <c r="H314" s="8">
        <f>'50 изол (каолин)'!H361*0.9</f>
        <v>4618.040625</v>
      </c>
      <c r="I314" s="8">
        <f>'50 изол (каолин)'!I361*0.9</f>
        <v>4975.245</v>
      </c>
      <c r="J314" s="88">
        <f>'50 изол (каолин)'!J361*0.9</f>
        <v>5703.885</v>
      </c>
      <c r="K314" s="8">
        <f>'50 изол (каолин)'!K361*0.9</f>
        <v>6685.84125</v>
      </c>
      <c r="L314" s="8">
        <f>'50 изол (каолин)'!L361*0.9</f>
        <v>7275.015</v>
      </c>
      <c r="M314" s="8">
        <f>'50 изол (каолин)'!M361*0.9</f>
        <v>7627.95</v>
      </c>
    </row>
    <row r="315" ht="19.5" customHeight="1" spans="1:13">
      <c r="A315" s="89" t="s">
        <v>21</v>
      </c>
      <c r="B315" s="8">
        <f>'50 изол (каолин)'!B362*0.9</f>
        <v>2786.47875</v>
      </c>
      <c r="C315" s="8">
        <f>'50 изол (каолин)'!C362*0.9</f>
        <v>2846.25</v>
      </c>
      <c r="D315" s="88">
        <f>'50 изол (каолин)'!D362*0.9</f>
        <v>2991.40875</v>
      </c>
      <c r="E315" s="8">
        <f>'50 изол (каолин)'!E362*0.9</f>
        <v>3092.450625</v>
      </c>
      <c r="F315" s="8">
        <f>'50 изол (каолин)'!F362*0.9</f>
        <v>3358.575</v>
      </c>
      <c r="G315" s="88">
        <f>'50 изол (каолин)'!G362*0.9</f>
        <v>3500.8875</v>
      </c>
      <c r="H315" s="8">
        <f>'50 изол (каолин)'!H362*0.9</f>
        <v>3594.81375</v>
      </c>
      <c r="I315" s="8">
        <f>'50 изол (каолин)'!I362*0.9</f>
        <v>3849.553125</v>
      </c>
      <c r="J315" s="88">
        <f>'50 изол (каолин)'!J362*0.9</f>
        <v>4380.37875</v>
      </c>
      <c r="K315" s="8">
        <f>'50 изол (каолин)'!K362*0.9</f>
        <v>5094.7875</v>
      </c>
      <c r="L315" s="8">
        <f>'50 изол (каолин)'!L362*0.9</f>
        <v>5523.148125</v>
      </c>
      <c r="M315" s="8">
        <f>'50 изол (каолин)'!M362*0.9</f>
        <v>5779.310625</v>
      </c>
    </row>
    <row r="316" ht="19.5" customHeight="1" spans="1:13">
      <c r="A316" s="89" t="s">
        <v>22</v>
      </c>
      <c r="B316" s="8">
        <f>'50 изол (каолин)'!B363*0.9</f>
        <v>2100.5325</v>
      </c>
      <c r="C316" s="8">
        <f>'50 изол (каолин)'!C363*0.9</f>
        <v>2133.264375</v>
      </c>
      <c r="D316" s="88">
        <f>'50 изол (каолин)'!D363*0.9</f>
        <v>2214.3825</v>
      </c>
      <c r="E316" s="8">
        <f>'50 изол (каолин)'!E363*0.9</f>
        <v>2271.3075</v>
      </c>
      <c r="F316" s="8">
        <f>'50 изол (каолин)'!F363*0.9</f>
        <v>2423.581875</v>
      </c>
      <c r="G316" s="88">
        <f>'50 изол (каолин)'!G363*0.9</f>
        <v>2521.7775</v>
      </c>
      <c r="H316" s="8">
        <f>'50 изол (каолин)'!H363*0.9</f>
        <v>2575.85625</v>
      </c>
      <c r="I316" s="8">
        <f>'50 изол (каолин)'!I363*0.9</f>
        <v>2718.16875</v>
      </c>
      <c r="J316" s="88">
        <f>'50 изол (каолин)'!J363*0.9</f>
        <v>3041.218125</v>
      </c>
      <c r="K316" s="8">
        <f>'50 изол (каолин)'!K363*0.9</f>
        <v>3463.88625</v>
      </c>
      <c r="L316" s="8">
        <f>'50 изол (каолин)'!L363*0.9</f>
        <v>3715.779375</v>
      </c>
      <c r="M316" s="8">
        <f>'50 изол (каолин)'!M363*0.9</f>
        <v>3868.05375</v>
      </c>
    </row>
    <row r="317" ht="19.5" customHeight="1" spans="1:13">
      <c r="A317" s="89" t="s">
        <v>23</v>
      </c>
      <c r="B317" s="8">
        <f>'50 изол (каолин)'!B364*0.9</f>
        <v>6312.9825</v>
      </c>
      <c r="C317" s="8">
        <f>'50 изол (каолин)'!C364*0.9</f>
        <v>6735.650625</v>
      </c>
      <c r="D317" s="88">
        <f>'50 изол (каолин)'!D364*0.9</f>
        <v>7405.9425</v>
      </c>
      <c r="E317" s="8">
        <f>'50 изол (каолин)'!E364*0.9</f>
        <v>7895.4975</v>
      </c>
      <c r="F317" s="8">
        <f>'50 изол (каолин)'!F364*0.9</f>
        <v>8533.0575</v>
      </c>
      <c r="G317" s="88">
        <f>'50 изол (каолин)'!G364*0.9</f>
        <v>9386.9325</v>
      </c>
      <c r="H317" s="8">
        <f>'50 изол (каолин)'!H364*0.9</f>
        <v>10239.384375</v>
      </c>
      <c r="I317" s="8">
        <f>'50 изол (каолин)'!I364*0.9</f>
        <v>10565.28</v>
      </c>
      <c r="J317" s="88">
        <f>'50 изол (каолин)'!J364*0.9</f>
        <v>11619.815625</v>
      </c>
      <c r="K317" s="8">
        <f>'50 изол (каолин)'!K364*0.9</f>
        <v>14646.8025</v>
      </c>
      <c r="L317" s="8">
        <f>'50 изол (каолин)'!L364*0.9</f>
        <v>16464.133125</v>
      </c>
      <c r="M317" s="8">
        <f>'50 изол (каолин)'!M364*0.9</f>
        <v>17675.2125</v>
      </c>
    </row>
    <row r="318" ht="19.5" customHeight="1" spans="1:13">
      <c r="A318" s="89" t="s">
        <v>24</v>
      </c>
      <c r="B318" s="8">
        <f>'50 изол (каолин)'!B365*0.9</f>
        <v>5971.4325</v>
      </c>
      <c r="C318" s="8">
        <f>'50 изол (каолин)'!C365*0.9</f>
        <v>6394.100625</v>
      </c>
      <c r="D318" s="88">
        <f>'50 изол (каолин)'!D365*0.9</f>
        <v>7064.3925</v>
      </c>
      <c r="E318" s="8">
        <f>'50 изол (каолин)'!E365*0.9</f>
        <v>7553.9475</v>
      </c>
      <c r="F318" s="8">
        <f>'50 изол (каолин)'!F365*0.9</f>
        <v>8191.5075</v>
      </c>
      <c r="G318" s="88">
        <f>'50 изол (каолин)'!G365*0.9</f>
        <v>9045.3825</v>
      </c>
      <c r="H318" s="8">
        <f>'50 изол (каолин)'!H365*0.9</f>
        <v>9897.834375</v>
      </c>
      <c r="I318" s="8">
        <f>'50 изол (каолин)'!I365*0.9</f>
        <v>10223.73</v>
      </c>
      <c r="J318" s="88">
        <f>'50 изол (каолин)'!J365*0.9</f>
        <v>11278.265625</v>
      </c>
      <c r="K318" s="8">
        <f>'50 изол (каолин)'!K365*0.9</f>
        <v>14305.2525</v>
      </c>
      <c r="L318" s="8">
        <f>'50 изол (каолин)'!L365*0.9</f>
        <v>16122.583125</v>
      </c>
      <c r="M318" s="8">
        <f>'50 изол (каолин)'!M365*0.9</f>
        <v>17333.6625</v>
      </c>
    </row>
    <row r="319" ht="19.5" customHeight="1" spans="1:13">
      <c r="A319" s="89" t="s">
        <v>26</v>
      </c>
      <c r="B319" s="8">
        <f>'50 изол (каолин)'!B366*0.9</f>
        <v>7478.521875</v>
      </c>
      <c r="C319" s="8">
        <f>'50 изол (каолин)'!C366*0.9</f>
        <v>8190.084375</v>
      </c>
      <c r="D319" s="88">
        <f>'50 изол (каолин)'!D366*0.9</f>
        <v>8823.375</v>
      </c>
      <c r="E319" s="8">
        <f>'50 изол (каолин)'!E366*0.9</f>
        <v>9503.62875</v>
      </c>
      <c r="F319" s="8">
        <f>'50 изол (каолин)'!F366*0.9</f>
        <v>9889.295625</v>
      </c>
      <c r="G319" s="88">
        <f>'50 изол (каолин)'!G366*0.9</f>
        <v>10637.859375</v>
      </c>
      <c r="H319" s="8">
        <f>'50 изол (каолин)'!H366*0.9</f>
        <v>11114.60625</v>
      </c>
      <c r="I319" s="8">
        <f>'50 изол (каолин)'!I366*0.9</f>
        <v>12150.64125</v>
      </c>
      <c r="J319" s="88">
        <f>'50 изол (каолин)'!J366*0.9</f>
        <v>13479.84</v>
      </c>
      <c r="K319" s="8">
        <f>'50 изол (каолин)'!K366*0.9</f>
        <v>16693.25625</v>
      </c>
      <c r="L319" s="8">
        <f>'50 изол (каолин)'!L366*0.9</f>
        <v>18621.590625</v>
      </c>
      <c r="M319" s="8">
        <f>'50 изол (каолин)'!M366*0.9</f>
        <v>19906.6725</v>
      </c>
    </row>
    <row r="320" ht="19.5" customHeight="1" spans="1:13">
      <c r="A320" s="89" t="s">
        <v>27</v>
      </c>
      <c r="B320" s="8">
        <f>'50 изол (каолин)'!B367*0.9</f>
        <v>9867.94875</v>
      </c>
      <c r="C320" s="8">
        <f>'50 изол (каолин)'!C367*0.9</f>
        <v>10364.619375</v>
      </c>
      <c r="D320" s="88">
        <f>'50 изол (каолин)'!D367*0.9</f>
        <v>10758.825</v>
      </c>
      <c r="E320" s="8">
        <f>'50 изол (каолин)'!E367*0.9</f>
        <v>11383.576875</v>
      </c>
      <c r="F320" s="8">
        <f>'50 изол (каолин)'!F367*0.9</f>
        <v>12032.521875</v>
      </c>
      <c r="G320" s="88">
        <f>'50 изол (каолин)'!G367*0.9</f>
        <v>13027.28625</v>
      </c>
      <c r="H320" s="8">
        <f>'50 изол (каолин)'!H367*0.9</f>
        <v>13864.08375</v>
      </c>
      <c r="I320" s="8">
        <f>'50 изол (каолин)'!I367*0.9</f>
        <v>15716.9925</v>
      </c>
      <c r="J320" s="88">
        <f>'50 изол (каолин)'!J367*0.9</f>
        <v>18553.280625</v>
      </c>
      <c r="K320" s="8">
        <f>'50 изол (каолин)'!K367*0.9</f>
        <v>22464.028125</v>
      </c>
      <c r="L320" s="8">
        <f>'50 изол (каолин)'!L367*0.9</f>
        <v>24810.76125</v>
      </c>
      <c r="M320" s="8">
        <f>'50 изол (каолин)'!M367*0.9</f>
        <v>26216.80875</v>
      </c>
    </row>
    <row r="321" ht="19.5" customHeight="1" spans="1:13">
      <c r="A321" s="89" t="s">
        <v>70</v>
      </c>
      <c r="B321" s="8">
        <f>'50 изол (каолин)'!B368*0.9</f>
        <v>17618.2875</v>
      </c>
      <c r="C321" s="8">
        <f>'50 изол (каолин)'!C368*0.9</f>
        <v>18218.84625</v>
      </c>
      <c r="D321" s="88">
        <f>'50 изол (каолин)'!D368*0.9</f>
        <v>18718.363125</v>
      </c>
      <c r="E321" s="8">
        <f>'50 изол (каолин)'!E368*0.9</f>
        <v>19283.34375</v>
      </c>
      <c r="F321" s="8">
        <f>'50 изол (каолин)'!F368*0.9</f>
        <v>19918.0575</v>
      </c>
      <c r="G321" s="88">
        <f>'50 изол (каолин)'!G368*0.9</f>
        <v>21321.25875</v>
      </c>
      <c r="H321" s="8">
        <f>'50 изол (каолин)'!H368*0.9</f>
        <v>22086.9</v>
      </c>
      <c r="I321" s="8">
        <f>'50 изол (каолин)'!I368*0.9</f>
        <v>23740.57125</v>
      </c>
      <c r="J321" s="88">
        <f>'50 изол (каолин)'!J368*0.9</f>
        <v>26539.858125</v>
      </c>
      <c r="K321" s="8">
        <f>'50 изол (каолин)'!K368*0.9</f>
        <v>31405.5225</v>
      </c>
      <c r="L321" s="8">
        <f>'50 изол (каолин)'!L368*0.9</f>
        <v>34324.351875</v>
      </c>
      <c r="M321" s="8">
        <f>'50 изол (каолин)'!M368*0.9</f>
        <v>36076.21875</v>
      </c>
    </row>
    <row r="322" ht="19.5" customHeight="1" spans="1:13">
      <c r="A322" s="89" t="s">
        <v>32</v>
      </c>
      <c r="B322" s="8">
        <f>'50 изол (каолин)'!B369*0.9</f>
        <v>2043.6075</v>
      </c>
      <c r="C322" s="8">
        <f>'50 изол (каолин)'!C369*0.9</f>
        <v>2083.455</v>
      </c>
      <c r="D322" s="88">
        <f>'50 изол (каолин)'!D369*0.9</f>
        <v>2220.075</v>
      </c>
      <c r="E322" s="8">
        <f>'50 изол (каолин)'!E369*0.9</f>
        <v>2442.0825</v>
      </c>
      <c r="F322" s="8">
        <f>'50 изол (каолин)'!F369*0.9</f>
        <v>2611.434375</v>
      </c>
      <c r="G322" s="88">
        <f>'50 изол (каолин)'!G369*0.9</f>
        <v>2759.439375</v>
      </c>
      <c r="H322" s="8">
        <f>'50 изол (каолин)'!H369*0.9</f>
        <v>2981.446875</v>
      </c>
      <c r="I322" s="8">
        <f>'50 изол (каолин)'!I369*0.9</f>
        <v>3073.95</v>
      </c>
      <c r="J322" s="88">
        <f>'50 изол (каолин)'!J369*0.9</f>
        <v>3415.5</v>
      </c>
      <c r="K322" s="8">
        <f>'50 изол (каолин)'!K369*0.9</f>
        <v>3883.708125</v>
      </c>
      <c r="L322" s="8">
        <f>'50 изол (каолин)'!L369*0.9</f>
        <v>4164.06375</v>
      </c>
      <c r="M322" s="8">
        <f>'50 изол (каолин)'!M369*0.9</f>
        <v>4331.9925</v>
      </c>
    </row>
    <row r="323" ht="19.5" customHeight="1" spans="1:13">
      <c r="A323" s="89" t="s">
        <v>81</v>
      </c>
      <c r="B323" s="8">
        <f>'50 изол (каолин)'!B370*0.9</f>
        <v>5719.539375</v>
      </c>
      <c r="C323" s="8">
        <f>'50 изол (каолин)'!C370*0.9</f>
        <v>5961.470625</v>
      </c>
      <c r="D323" s="88">
        <f>'50 изол (каолин)'!D370*0.9</f>
        <v>6044.011875</v>
      </c>
      <c r="E323" s="8">
        <f>'50 изол (каолин)'!E370*0.9</f>
        <v>6311.559375</v>
      </c>
      <c r="F323" s="8">
        <f>'50 изол (каолин)'!F370*0.9</f>
        <v>6599.030625</v>
      </c>
      <c r="G323" s="88">
        <f>'50 изол (каолин)'!G370*0.9</f>
        <v>7290.669375</v>
      </c>
      <c r="H323" s="8">
        <f>'50 изол (каолин)'!H370*0.9</f>
        <v>7781.6475</v>
      </c>
      <c r="I323" s="8">
        <f>'50 изол (каолин)'!I370*0.9</f>
        <v>8554.404375</v>
      </c>
      <c r="J323" s="88">
        <f>'50 изол (каолин)'!J370*0.9</f>
        <v>9571.93875</v>
      </c>
      <c r="K323" s="8">
        <f>'50 изол (каолин)'!K370*0.9</f>
        <v>11767.820625</v>
      </c>
      <c r="L323" s="8">
        <f>'50 изол (каолин)'!L370*0.9</f>
        <v>13087.0575</v>
      </c>
      <c r="M323" s="8">
        <f>'50 изол (каолин)'!M370*0.9</f>
        <v>13876.891875</v>
      </c>
    </row>
    <row r="324" ht="19.5" customHeight="1" spans="1:13">
      <c r="A324" s="89" t="s">
        <v>82</v>
      </c>
      <c r="B324" s="8">
        <f>'50 изол (каолин)'!B371*0.9</f>
        <v>7427.289375</v>
      </c>
      <c r="C324" s="8">
        <f>'50 изол (каолин)'!C371*0.9</f>
        <v>7669.220625</v>
      </c>
      <c r="D324" s="88">
        <f>'50 изол (каолин)'!D371*0.9</f>
        <v>7751.761875</v>
      </c>
      <c r="E324" s="8">
        <f>'50 изол (каолин)'!E371*0.9</f>
        <v>8019.309375</v>
      </c>
      <c r="F324" s="8">
        <f>'50 изол (каолин)'!F371*0.9</f>
        <v>8306.780625</v>
      </c>
      <c r="G324" s="88">
        <f>'50 изол (каолин)'!G371*0.9</f>
        <v>8998.419375</v>
      </c>
      <c r="H324" s="8">
        <f>'50 изол (каолин)'!H371*0.9</f>
        <v>9489.3975</v>
      </c>
      <c r="I324" s="8">
        <f>'50 изол (каолин)'!I371*0.9</f>
        <v>10262.154375</v>
      </c>
      <c r="J324" s="88">
        <f>'50 изол (каолин)'!J371*0.9</f>
        <v>11279.68875</v>
      </c>
      <c r="K324" s="8">
        <f>'50 изол (каолин)'!K371*0.9</f>
        <v>13475.570625</v>
      </c>
      <c r="L324" s="8">
        <f>'50 изол (каолин)'!L371*0.9</f>
        <v>14794.8075</v>
      </c>
      <c r="M324" s="8">
        <f>'50 изол (каолин)'!M371*0.9</f>
        <v>15584.641875</v>
      </c>
    </row>
    <row r="325" ht="19.5" customHeight="1" spans="1:13">
      <c r="A325" s="89" t="s">
        <v>39</v>
      </c>
      <c r="B325" s="8">
        <f>'50 изол (каолин)'!B372*0.9</f>
        <v>5123.25</v>
      </c>
      <c r="C325" s="8">
        <f>'50 изол (каолин)'!C372*0.9</f>
        <v>5790.695625</v>
      </c>
      <c r="D325" s="88">
        <f>'50 изол (каолин)'!D372*0.9</f>
        <v>5873.236875</v>
      </c>
      <c r="E325" s="8">
        <f>'50 изол (каолин)'!E372*0.9</f>
        <v>6140.784375</v>
      </c>
      <c r="F325" s="8">
        <f>'50 изол (каолин)'!F372*0.9</f>
        <v>6428.255625</v>
      </c>
      <c r="G325" s="88">
        <f>'50 изол (каолин)'!G372*0.9</f>
        <v>6949.119375</v>
      </c>
      <c r="H325" s="8">
        <f>'50 изол (каолин)'!H372*0.9</f>
        <v>7269.3225</v>
      </c>
      <c r="I325" s="8">
        <f>'50 изол (каолин)'!I372*0.9</f>
        <v>7871.304375</v>
      </c>
      <c r="J325" s="88">
        <f>'50 изол (каолин)'!J372*0.9</f>
        <v>8712.37125</v>
      </c>
      <c r="K325" s="8">
        <f>'50 изол (каолин)'!K372*0.9</f>
        <v>10743.170625</v>
      </c>
      <c r="L325" s="8">
        <f>'50 изол (каолин)'!L372*0.9</f>
        <v>11961.365625</v>
      </c>
      <c r="M325" s="8">
        <f>'50 изол (каолин)'!M372*0.9</f>
        <v>12691.42875</v>
      </c>
    </row>
    <row r="326" ht="19.5" customHeight="1" spans="1:13">
      <c r="A326" s="35"/>
      <c r="B326" s="35"/>
      <c r="C326" s="35"/>
      <c r="D326" s="49"/>
      <c r="E326" s="35"/>
      <c r="F326" s="35"/>
      <c r="G326" s="49"/>
      <c r="H326" s="35"/>
      <c r="I326" s="35"/>
      <c r="J326" s="49"/>
      <c r="K326" s="35"/>
      <c r="L326" s="35"/>
      <c r="M326" s="35"/>
    </row>
    <row r="327" ht="19.5" customHeight="1" spans="1:13">
      <c r="A327" s="82" t="s">
        <v>35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9.5" customHeight="1" spans="1:13">
      <c r="A328" s="35"/>
      <c r="B328" s="35"/>
      <c r="C328" s="35"/>
      <c r="D328" s="49"/>
      <c r="E328" s="35"/>
      <c r="F328" s="35"/>
      <c r="G328" s="49"/>
      <c r="H328" s="35"/>
      <c r="I328" s="35"/>
      <c r="J328" s="49"/>
      <c r="K328" s="83" t="s">
        <v>127</v>
      </c>
    </row>
    <row r="329" ht="19.5" customHeight="1" spans="1:13">
      <c r="A329" s="35"/>
      <c r="B329" s="35"/>
      <c r="C329" s="35"/>
      <c r="D329" s="49"/>
      <c r="E329" s="35"/>
      <c r="F329" s="35"/>
      <c r="G329" s="49"/>
      <c r="H329" s="35"/>
      <c r="I329" s="35"/>
      <c r="J329" s="49"/>
    </row>
    <row r="330" ht="19.5" customHeight="1" spans="1:13">
      <c r="A330" s="92" t="s">
        <v>124</v>
      </c>
      <c r="B330" s="35"/>
      <c r="C330" s="35"/>
      <c r="D330" s="49"/>
      <c r="E330" s="35"/>
      <c r="F330" s="35"/>
      <c r="G330" s="49"/>
      <c r="H330" s="35"/>
      <c r="I330" s="35"/>
      <c r="J330" s="49"/>
    </row>
    <row r="331" ht="19.5" customHeight="1" spans="1:13">
      <c r="A331" s="92" t="s">
        <v>101</v>
      </c>
      <c r="B331" s="35"/>
      <c r="C331" s="35"/>
      <c r="D331" s="49"/>
      <c r="E331" s="35"/>
      <c r="F331" s="35"/>
      <c r="G331" s="49"/>
      <c r="H331" s="35"/>
      <c r="I331" s="35"/>
      <c r="J331" s="49"/>
      <c r="K331" s="35"/>
      <c r="L331" s="35"/>
      <c r="M331" s="35"/>
    </row>
    <row r="332" ht="19.5" customHeight="1" spans="1:13">
      <c r="A332" s="85" t="s">
        <v>128</v>
      </c>
    </row>
    <row r="333" ht="27" customHeight="1" spans="1:13">
      <c r="A333" s="17"/>
      <c r="B333" s="86" t="s">
        <v>129</v>
      </c>
      <c r="C333" s="86" t="s">
        <v>130</v>
      </c>
      <c r="D333" s="86" t="s">
        <v>131</v>
      </c>
      <c r="E333" s="86" t="s">
        <v>132</v>
      </c>
      <c r="F333" s="86" t="s">
        <v>133</v>
      </c>
      <c r="G333" s="86" t="s">
        <v>134</v>
      </c>
      <c r="H333" s="86" t="s">
        <v>135</v>
      </c>
      <c r="I333" s="86" t="s">
        <v>136</v>
      </c>
      <c r="J333" s="86" t="s">
        <v>137</v>
      </c>
      <c r="K333" s="86" t="s">
        <v>138</v>
      </c>
      <c r="L333" s="86" t="s">
        <v>139</v>
      </c>
      <c r="M333" s="86" t="s">
        <v>140</v>
      </c>
    </row>
    <row r="334" ht="19.5" customHeight="1" spans="1:13">
      <c r="A334" s="89" t="s">
        <v>68</v>
      </c>
      <c r="B334" s="8">
        <f>'50 изол (каолин)'!B428*0.9</f>
        <v>3893.175</v>
      </c>
      <c r="C334" s="8">
        <f>'50 изол (каолин)'!C428*0.9</f>
        <v>4158.61875</v>
      </c>
      <c r="D334" s="88">
        <f>'50 изол (каолин)'!D428*0.9</f>
        <v>4494.8475</v>
      </c>
      <c r="E334" s="8">
        <f>'50 изол (каолин)'!E428*0.9</f>
        <v>4675.89375</v>
      </c>
      <c r="F334" s="8">
        <f>'50 изол (каолин)'!F428*0.9</f>
        <v>5131.9125</v>
      </c>
      <c r="G334" s="88">
        <f>'50 изол (каолин)'!G428*0.9</f>
        <v>5492.64375</v>
      </c>
      <c r="H334" s="8">
        <f>'50 изол (каолин)'!H428*0.9</f>
        <v>5839.7625</v>
      </c>
      <c r="I334" s="8">
        <f>'50 изол (каолин)'!I428*0.9</f>
        <v>6283.53</v>
      </c>
      <c r="J334" s="88">
        <f>'50 изол (каолин)'!J428*0.9</f>
        <v>7103.0025</v>
      </c>
      <c r="K334" s="8">
        <f>'50 изол (каолин)'!K428*0.9</f>
        <v>8339.0175</v>
      </c>
      <c r="L334" s="8">
        <f>'50 изол (каолин)'!L428*0.9</f>
        <v>9079.5375</v>
      </c>
      <c r="M334" s="8">
        <f>'50 изол (каолин)'!M428*0.9</f>
        <v>9573.67125</v>
      </c>
    </row>
    <row r="335" ht="19.5" customHeight="1" spans="1:13">
      <c r="A335" s="89" t="s">
        <v>18</v>
      </c>
      <c r="B335" s="8">
        <f>'50 изол (каолин)'!B429*0.9</f>
        <v>3321.45</v>
      </c>
      <c r="C335" s="8">
        <f>'50 изол (каолин)'!C429*0.9</f>
        <v>3539.25</v>
      </c>
      <c r="D335" s="88">
        <f>'50 изол (каолин)'!D429*0.9</f>
        <v>3797.8875</v>
      </c>
      <c r="E335" s="8">
        <f>'50 изол (каолин)'!E429*0.9</f>
        <v>4109.61375</v>
      </c>
      <c r="F335" s="8">
        <f>'50 изол (каолин)'!F429*0.9</f>
        <v>4390.03125</v>
      </c>
      <c r="G335" s="88">
        <f>'50 изол (каолин)'!G429*0.9</f>
        <v>4613.27625</v>
      </c>
      <c r="H335" s="8">
        <f>'50 изол (каолин)'!H429*0.9</f>
        <v>4737.15</v>
      </c>
      <c r="I335" s="8">
        <f>'50 изол (каолин)'!I429*0.9</f>
        <v>5059.76625</v>
      </c>
      <c r="J335" s="88">
        <f>'50 изол (каолин)'!J429*0.9</f>
        <v>5684.58</v>
      </c>
      <c r="K335" s="8">
        <f>'50 изол (каолин)'!K429*0.9</f>
        <v>6619.75875</v>
      </c>
      <c r="L335" s="8">
        <f>'50 изол (каолин)'!L429*0.9</f>
        <v>7180.59375</v>
      </c>
      <c r="M335" s="8">
        <f>'50 изол (каолин)'!M429*0.9</f>
        <v>7556.29875</v>
      </c>
    </row>
    <row r="336" ht="19.5" customHeight="1" spans="1:13">
      <c r="A336" s="89" t="s">
        <v>19</v>
      </c>
      <c r="B336" s="8">
        <f>'50 изол (каолин)'!B430*0.9</f>
        <v>2723.86125</v>
      </c>
      <c r="C336" s="8">
        <f>'50 изол (каолин)'!C430*0.9</f>
        <v>2907.63</v>
      </c>
      <c r="D336" s="88">
        <f>'50 изол (каолин)'!D430*0.9</f>
        <v>3098.205</v>
      </c>
      <c r="E336" s="8">
        <f>'50 изол (каолин)'!E430*0.9</f>
        <v>3366.37125</v>
      </c>
      <c r="F336" s="8">
        <f>'50 изол (каолин)'!F430*0.9</f>
        <v>3552.8625</v>
      </c>
      <c r="G336" s="88">
        <f>'50 изол (каолин)'!G430*0.9</f>
        <v>3891.81375</v>
      </c>
      <c r="H336" s="8">
        <f>'50 изол (каолин)'!H430*0.9</f>
        <v>3974.85</v>
      </c>
      <c r="I336" s="8">
        <f>'50 изол (каолин)'!I430*0.9</f>
        <v>4188.56625</v>
      </c>
      <c r="J336" s="88">
        <f>'50 изол (каолин)'!J430*0.9</f>
        <v>4618.72125</v>
      </c>
      <c r="K336" s="8">
        <f>'50 изол (каолин)'!K430*0.9</f>
        <v>5254.425</v>
      </c>
      <c r="L336" s="8">
        <f>'50 изол (каолин)'!L430*0.9</f>
        <v>5634.21375</v>
      </c>
      <c r="M336" s="8">
        <f>'50 изол (каолин)'!M430*0.9</f>
        <v>5888.7675</v>
      </c>
    </row>
    <row r="337" ht="19.5" customHeight="1" spans="1:13">
      <c r="A337" s="89" t="s">
        <v>20</v>
      </c>
      <c r="B337" s="8">
        <f>'50 изол (каолин)'!B431*0.9</f>
        <v>2258.31375</v>
      </c>
      <c r="C337" s="8">
        <f>'50 изол (каолин)'!C431*0.9</f>
        <v>2491.0875</v>
      </c>
      <c r="D337" s="88">
        <f>'50 изол (каолин)'!D431*0.9</f>
        <v>2628.57375</v>
      </c>
      <c r="E337" s="8">
        <f>'50 изол (каолин)'!E431*0.9</f>
        <v>2717.055</v>
      </c>
      <c r="F337" s="8">
        <f>'50 изол (каолин)'!F431*0.9</f>
        <v>2967.525</v>
      </c>
      <c r="G337" s="88">
        <f>'50 изол (каолин)'!G431*0.9</f>
        <v>3110.45625</v>
      </c>
      <c r="H337" s="8">
        <f>'50 изол (каолин)'!H431*0.9</f>
        <v>3174.435</v>
      </c>
      <c r="I337" s="8">
        <f>'50 изол (каолин)'!I431*0.9</f>
        <v>3409.93125</v>
      </c>
      <c r="J337" s="88">
        <f>'50 изол (каолин)'!J431*0.9</f>
        <v>3727.1025</v>
      </c>
      <c r="K337" s="8">
        <f>'50 изол (каолин)'!K431*0.9</f>
        <v>4564.27125</v>
      </c>
      <c r="L337" s="8">
        <f>'50 изол (каолин)'!L431*0.9</f>
        <v>4960.395</v>
      </c>
      <c r="M337" s="8">
        <f>'50 изол (каолин)'!M431*0.9</f>
        <v>5197.2525</v>
      </c>
    </row>
    <row r="338" ht="19.5" customHeight="1" spans="1:13">
      <c r="A338" s="89" t="s">
        <v>21</v>
      </c>
      <c r="B338" s="8">
        <f>'50 изол (каолин)'!B432*0.9</f>
        <v>1815.9075</v>
      </c>
      <c r="C338" s="8">
        <f>'50 изол (каолин)'!C432*0.9</f>
        <v>2018.73375</v>
      </c>
      <c r="D338" s="88">
        <f>'50 изол (каолин)'!D432*0.9</f>
        <v>2111.29875</v>
      </c>
      <c r="E338" s="8">
        <f>'50 изол (каолин)'!E432*0.9</f>
        <v>2172.555</v>
      </c>
      <c r="F338" s="8">
        <f>'50 изол (каолин)'!F432*0.9</f>
        <v>2349.5175</v>
      </c>
      <c r="G338" s="88">
        <f>'50 изол (каолин)'!G432*0.9</f>
        <v>2640.825</v>
      </c>
      <c r="H338" s="8">
        <f>'50 изол (каолин)'!H432*0.9</f>
        <v>2683.02375</v>
      </c>
      <c r="I338" s="8">
        <f>'50 изол (каолин)'!I432*0.9</f>
        <v>2843.65125</v>
      </c>
      <c r="J338" s="88">
        <f>'50 изол (каолин)'!J432*0.9</f>
        <v>3197.57625</v>
      </c>
      <c r="K338" s="8">
        <f>'50 изол (каолин)'!K432*0.9</f>
        <v>3679.45875</v>
      </c>
      <c r="L338" s="8">
        <f>'50 изол (каолин)'!L432*0.9</f>
        <v>3968.04375</v>
      </c>
      <c r="M338" s="8">
        <f>'50 изол (каолин)'!M432*0.9</f>
        <v>4140.9225</v>
      </c>
    </row>
    <row r="339" ht="19.5" customHeight="1" spans="1:13">
      <c r="A339" s="89" t="s">
        <v>22</v>
      </c>
      <c r="B339" s="8">
        <f>'50 изол (каолин)'!B433*0.9</f>
        <v>1521.8775</v>
      </c>
      <c r="C339" s="8">
        <f>'50 изол (каолин)'!C433*0.9</f>
        <v>1715.175</v>
      </c>
      <c r="D339" s="88">
        <f>'50 изол (каолин)'!D433*0.9</f>
        <v>1769.625</v>
      </c>
      <c r="E339" s="8">
        <f>'50 изол (каолин)'!E433*0.9</f>
        <v>1809.10125</v>
      </c>
      <c r="F339" s="8">
        <f>'50 изол (каолин)'!F433*0.9</f>
        <v>1915.27875</v>
      </c>
      <c r="G339" s="88">
        <f>'50 изол (каолин)'!G433*0.9</f>
        <v>1995.5925</v>
      </c>
      <c r="H339" s="8">
        <f>'50 изол (каолин)'!H433*0.9</f>
        <v>2022.8175</v>
      </c>
      <c r="I339" s="8">
        <f>'50 изол (каолин)'!I433*0.9</f>
        <v>2119.46625</v>
      </c>
      <c r="J339" s="88">
        <f>'50 изол (каолин)'!J433*0.9</f>
        <v>2346.795</v>
      </c>
      <c r="K339" s="8">
        <f>'50 изол (каолин)'!K433*0.9</f>
        <v>2640.825</v>
      </c>
      <c r="L339" s="8">
        <f>'50 изол (каолин)'!L433*0.9</f>
        <v>2817.7875</v>
      </c>
      <c r="M339" s="8">
        <f>'50 изол (каолин)'!M433*0.9</f>
        <v>2921.2425</v>
      </c>
    </row>
    <row r="340" ht="19.5" customHeight="1" spans="1:13">
      <c r="A340" s="89" t="s">
        <v>23</v>
      </c>
      <c r="B340" s="8">
        <f>'50 изол (каолин)'!B434*0.9</f>
        <v>4477.15125</v>
      </c>
      <c r="C340" s="8">
        <f>'50 изол (каолин)'!C434*0.9</f>
        <v>4737.15</v>
      </c>
      <c r="D340" s="88">
        <f>'50 изол (каолин)'!D434*0.9</f>
        <v>4999.87125</v>
      </c>
      <c r="E340" s="8">
        <f>'50 изол (каолин)'!E434*0.9</f>
        <v>5278.9275</v>
      </c>
      <c r="F340" s="8">
        <f>'50 изол (каолин)'!F434*0.9</f>
        <v>5367.40875</v>
      </c>
      <c r="G340" s="88">
        <f>'50 изол (каолин)'!G434*0.9</f>
        <v>5632.8525</v>
      </c>
      <c r="H340" s="8">
        <f>'50 изол (каолин)'!H434*0.9</f>
        <v>6105.20625</v>
      </c>
      <c r="I340" s="8">
        <f>'50 изол (каолин)'!I434*0.9</f>
        <v>6813.05625</v>
      </c>
      <c r="J340" s="88">
        <f>'50 изол (каолин)'!J434*0.9</f>
        <v>8025.93</v>
      </c>
      <c r="K340" s="8">
        <f>'50 изол (каолин)'!K434*0.9</f>
        <v>9833.67</v>
      </c>
      <c r="L340" s="8">
        <f>'50 изол (каолин)'!L434*0.9</f>
        <v>10918.58625</v>
      </c>
      <c r="M340" s="8">
        <f>'50 изол (каолин)'!M434*0.9</f>
        <v>11642.77125</v>
      </c>
    </row>
    <row r="341" ht="19.5" customHeight="1" spans="1:13">
      <c r="A341" s="89" t="s">
        <v>24</v>
      </c>
      <c r="B341" s="8">
        <f>'50 изол (каолин)'!B435*0.9</f>
        <v>4123.22625</v>
      </c>
      <c r="C341" s="8">
        <f>'50 изол (каолин)'!C435*0.9</f>
        <v>4383.225</v>
      </c>
      <c r="D341" s="88">
        <f>'50 изол (каолин)'!D435*0.9</f>
        <v>4645.94625</v>
      </c>
      <c r="E341" s="8">
        <f>'50 изол (каолин)'!E435*0.9</f>
        <v>4925.0025</v>
      </c>
      <c r="F341" s="8">
        <f>'50 изол (каолин)'!F435*0.9</f>
        <v>5013.48375</v>
      </c>
      <c r="G341" s="88">
        <f>'50 изол (каолин)'!G435*0.9</f>
        <v>5278.9275</v>
      </c>
      <c r="H341" s="8">
        <f>'50 изол (каолин)'!H435*0.9</f>
        <v>5751.28125</v>
      </c>
      <c r="I341" s="8">
        <f>'50 изол (каолин)'!I435*0.9</f>
        <v>6459.13125</v>
      </c>
      <c r="J341" s="88">
        <f>'50 изол (каолин)'!J435*0.9</f>
        <v>7672.005</v>
      </c>
      <c r="K341" s="8">
        <f>'50 изол (каолин)'!K435*0.9</f>
        <v>9479.745</v>
      </c>
      <c r="L341" s="8">
        <f>'50 изол (каолин)'!L435*0.9</f>
        <v>10564.66125</v>
      </c>
      <c r="M341" s="8">
        <f>'50 изол (каолин)'!M435*0.9</f>
        <v>11288.84625</v>
      </c>
    </row>
    <row r="342" ht="19.5" customHeight="1" spans="1:13">
      <c r="A342" s="89" t="s">
        <v>26</v>
      </c>
      <c r="B342" s="8">
        <f>'50 изол (каолин)'!B436*0.9</f>
        <v>6389.7075</v>
      </c>
      <c r="C342" s="8">
        <f>'50 изол (каолин)'!C436*0.9</f>
        <v>6641.53875</v>
      </c>
      <c r="D342" s="88">
        <f>'50 изол (каолин)'!D436*0.9</f>
        <v>7019.96625</v>
      </c>
      <c r="E342" s="8">
        <f>'50 изол (каолин)'!E436*0.9</f>
        <v>7721.01</v>
      </c>
      <c r="F342" s="8">
        <f>'50 изол (каолин)'!F436*0.9</f>
        <v>8046.34875</v>
      </c>
      <c r="G342" s="88">
        <f>'50 изол (каолин)'!G436*0.9</f>
        <v>8601.73875</v>
      </c>
      <c r="H342" s="8">
        <f>'50 изол (каолин)'!H436*0.9</f>
        <v>9102.67875</v>
      </c>
      <c r="I342" s="8">
        <f>'50 изол (каолин)'!I436*0.9</f>
        <v>10159.00875</v>
      </c>
      <c r="J342" s="88">
        <f>'50 изол (каолин)'!J436*0.9</f>
        <v>10857.33</v>
      </c>
      <c r="K342" s="8">
        <f>'50 изол (каолин)'!K436*0.9</f>
        <v>13405.59</v>
      </c>
      <c r="L342" s="8">
        <f>'50 изол (каолин)'!L436*0.9</f>
        <v>14934.27375</v>
      </c>
      <c r="M342" s="8">
        <f>'50 изол (каолин)'!M436*0.9</f>
        <v>15953.85</v>
      </c>
    </row>
    <row r="343" ht="19.5" customHeight="1" spans="1:13">
      <c r="A343" s="89" t="s">
        <v>27</v>
      </c>
      <c r="B343" s="8">
        <f>'50 изол (каолин)'!B437*0.9</f>
        <v>8280.48375</v>
      </c>
      <c r="C343" s="8">
        <f>'50 изол (каолин)'!C437*0.9</f>
        <v>8507.8125</v>
      </c>
      <c r="D343" s="88">
        <f>'50 изол (каолин)'!D437*0.9</f>
        <v>8872.6275</v>
      </c>
      <c r="E343" s="8">
        <f>'50 изол (каолин)'!E437*0.9</f>
        <v>9679.84875</v>
      </c>
      <c r="F343" s="8">
        <f>'50 изол (каолин)'!F437*0.9</f>
        <v>9986.13</v>
      </c>
      <c r="G343" s="88">
        <f>'50 изол (каолин)'!G437*0.9</f>
        <v>11079.21375</v>
      </c>
      <c r="H343" s="8">
        <f>'50 изол (каолин)'!H437*0.9</f>
        <v>11989.89</v>
      </c>
      <c r="I343" s="8">
        <f>'50 изол (каолин)'!I437*0.9</f>
        <v>13042.13625</v>
      </c>
      <c r="J343" s="88">
        <f>'50 изол (каолин)'!J437*0.9</f>
        <v>15225.58125</v>
      </c>
      <c r="K343" s="8">
        <f>'50 изол (каолин)'!K437*0.9</f>
        <v>17836.45875</v>
      </c>
      <c r="L343" s="8">
        <f>'50 изол (каолин)'!L437*0.9</f>
        <v>19401.89625</v>
      </c>
      <c r="M343" s="8">
        <f>'50 изол (каолин)'!M437*0.9</f>
        <v>20342.52</v>
      </c>
    </row>
    <row r="344" ht="19.5" customHeight="1" spans="1:13">
      <c r="A344" s="89" t="s">
        <v>70</v>
      </c>
      <c r="B344" s="8">
        <f>'50 изол (каолин)'!B438*0.9</f>
        <v>15376.68</v>
      </c>
      <c r="C344" s="8">
        <f>'50 изол (каолин)'!C438*0.9</f>
        <v>15855.84</v>
      </c>
      <c r="D344" s="88">
        <f>'50 изол (каолин)'!D438*0.9</f>
        <v>16258.77</v>
      </c>
      <c r="E344" s="8">
        <f>'50 изол (каолин)'!E438*0.9</f>
        <v>16710.705</v>
      </c>
      <c r="F344" s="8">
        <f>'50 изол (каолин)'!F438*0.9</f>
        <v>17218.45125</v>
      </c>
      <c r="G344" s="88">
        <f>'50 изол (каолин)'!G438*0.9</f>
        <v>18374.1525</v>
      </c>
      <c r="H344" s="8">
        <f>'50 изол (каолин)'!H438*0.9</f>
        <v>18986.715</v>
      </c>
      <c r="I344" s="8">
        <f>'50 изол (каолин)'!I438*0.9</f>
        <v>20307.1275</v>
      </c>
      <c r="J344" s="88">
        <f>'50 изол (каолин)'!J438*0.9</f>
        <v>22773.7125</v>
      </c>
      <c r="K344" s="8">
        <f>'50 изол (каолин)'!K438*0.9</f>
        <v>26854.74</v>
      </c>
      <c r="L344" s="8">
        <f>'50 изол (каолин)'!L438*0.9</f>
        <v>29303.62875</v>
      </c>
      <c r="M344" s="8">
        <f>'50 изол (каолин)'!M438*0.9</f>
        <v>18050.175</v>
      </c>
    </row>
    <row r="345" ht="19.5" customHeight="1" spans="1:13">
      <c r="A345" s="89" t="s">
        <v>32</v>
      </c>
      <c r="B345" s="8">
        <f>'50 изол (каолин)'!B439*0.9</f>
        <v>1746.48375</v>
      </c>
      <c r="C345" s="8">
        <f>'50 изол (каолин)'!C439*0.9</f>
        <v>1783.2375</v>
      </c>
      <c r="D345" s="88">
        <f>'50 изол (каолин)'!D439*0.9</f>
        <v>1911.195</v>
      </c>
      <c r="E345" s="8">
        <f>'50 изол (каолин)'!E439*0.9</f>
        <v>2118.105</v>
      </c>
      <c r="F345" s="8">
        <f>'50 изол (каолин)'!F439*0.9</f>
        <v>2276.01</v>
      </c>
      <c r="G345" s="88">
        <f>'50 изол (каолин)'!G439*0.9</f>
        <v>2413.49625</v>
      </c>
      <c r="H345" s="8">
        <f>'50 изол (каолин)'!H439*0.9</f>
        <v>2620.40625</v>
      </c>
      <c r="I345" s="8">
        <f>'50 изол (каолин)'!I439*0.9</f>
        <v>2707.52625</v>
      </c>
      <c r="J345" s="88">
        <f>'50 изол (каолин)'!J439*0.9</f>
        <v>3026.05875</v>
      </c>
      <c r="K345" s="8">
        <f>'50 изол (каолин)'!K439*0.9</f>
        <v>3463.02</v>
      </c>
      <c r="L345" s="8">
        <f>'50 изол (каолин)'!L439*0.9</f>
        <v>3725.74125</v>
      </c>
      <c r="M345" s="8">
        <f>'50 изол (каолин)'!M439*0.9</f>
        <v>3880.92375</v>
      </c>
    </row>
    <row r="346" ht="19.5" customHeight="1" spans="1:13">
      <c r="A346" s="89" t="s">
        <v>72</v>
      </c>
      <c r="B346" s="8">
        <f>'50 изол (каолин)'!B440*0.9</f>
        <v>5206.78125</v>
      </c>
      <c r="C346" s="8">
        <f>'50 изол (каолин)'!C440*0.9</f>
        <v>5363.325</v>
      </c>
      <c r="D346" s="88">
        <f>'50 изол (каолин)'!D440*0.9</f>
        <v>5428.665</v>
      </c>
      <c r="E346" s="8">
        <f>'50 изол (каолин)'!E440*0.9</f>
        <v>5638.2975</v>
      </c>
      <c r="F346" s="8">
        <f>'50 изол (каолин)'!F440*0.9</f>
        <v>5823.4275</v>
      </c>
      <c r="G346" s="88">
        <f>'50 изол (каолин)'!G440*0.9</f>
        <v>6269.9175</v>
      </c>
      <c r="H346" s="8">
        <f>'50 изол (каолин)'!H440*0.9</f>
        <v>6476.8275</v>
      </c>
      <c r="I346" s="8">
        <f>'50 изол (каолин)'!I440*0.9</f>
        <v>6930.12375</v>
      </c>
      <c r="J346" s="88">
        <f>'50 изол (каолин)'!J440*0.9</f>
        <v>7779.54375</v>
      </c>
      <c r="K346" s="8">
        <f>'50 изол (каолин)'!K440*0.9</f>
        <v>9384.4575</v>
      </c>
      <c r="L346" s="8">
        <f>'50 изол (каолин)'!L440*0.9</f>
        <v>10346.86125</v>
      </c>
      <c r="M346" s="8">
        <f>'50 изол (каолин)'!M440*0.9</f>
        <v>10925.3925</v>
      </c>
    </row>
    <row r="347" ht="19.5" customHeight="1" spans="1:13">
      <c r="A347" s="89" t="s">
        <v>73</v>
      </c>
      <c r="B347" s="8">
        <f>'50 изол (каолин)'!B441*0.9</f>
        <v>1964.28375</v>
      </c>
      <c r="C347" s="8">
        <f>'50 изол (каолин)'!C441*0.9</f>
        <v>2028.2625</v>
      </c>
      <c r="D347" s="88">
        <f>'50 изол (каолин)'!D441*0.9</f>
        <v>2148.0525</v>
      </c>
      <c r="E347" s="8">
        <f>'50 изол (каолин)'!E441*0.9</f>
        <v>2378.10375</v>
      </c>
      <c r="F347" s="8">
        <f>'50 изол (каолин)'!F441*0.9</f>
        <v>2473.39125</v>
      </c>
      <c r="G347" s="88">
        <f>'50 изол (каолин)'!G441*0.9</f>
        <v>2755.17</v>
      </c>
      <c r="H347" s="8">
        <f>'50 изол (каолин)'!H441*0.9</f>
        <v>3008.3625</v>
      </c>
      <c r="I347" s="8">
        <f>'50 изол (каолин)'!I441*0.9</f>
        <v>3443.9625</v>
      </c>
      <c r="J347" s="88">
        <f>'50 изол (каолин)'!J441*0.9</f>
        <v>3727.1025</v>
      </c>
      <c r="K347" s="8">
        <f>'50 изол (каолин)'!K441*0.9</f>
        <v>4411.81125</v>
      </c>
      <c r="L347" s="8">
        <f>'50 изол (каолин)'!L441*0.9</f>
        <v>4822.90875</v>
      </c>
      <c r="M347" s="8">
        <f>'50 изол (каолин)'!M441*0.9</f>
        <v>5070.65625</v>
      </c>
    </row>
    <row r="348" ht="19.5" customHeight="1" spans="1:13">
      <c r="A348" s="89" t="s">
        <v>74</v>
      </c>
      <c r="B348" s="8">
        <f>'50 изол (каолин)'!B442*0.9</f>
        <v>2587.73625</v>
      </c>
      <c r="C348" s="8">
        <f>'50 изол (каолин)'!C442*0.9</f>
        <v>2677.57875</v>
      </c>
      <c r="D348" s="88">
        <f>'50 изол (каолин)'!D442*0.9</f>
        <v>2990.66625</v>
      </c>
      <c r="E348" s="8">
        <f>'50 изол (каолин)'!E442*0.9</f>
        <v>3065.535</v>
      </c>
      <c r="F348" s="8">
        <f>'50 изол (каолин)'!F442*0.9</f>
        <v>3273.80625</v>
      </c>
      <c r="G348" s="88">
        <f>'50 изол (каолин)'!G442*0.9</f>
        <v>3774.74625</v>
      </c>
      <c r="H348" s="8">
        <f>'50 изол (каолин)'!H442*0.9</f>
        <v>3962.59875</v>
      </c>
      <c r="I348" s="8">
        <f>'50 изол (каолин)'!I442*0.9</f>
        <v>4351.91625</v>
      </c>
      <c r="J348" s="88">
        <f>'50 изол (каолин)'!J442*0.9</f>
        <v>4665.00375</v>
      </c>
      <c r="K348" s="8">
        <f>'50 изол (каолин)'!K442*0.9</f>
        <v>5679.135</v>
      </c>
      <c r="L348" s="8">
        <f>'50 изол (каолин)'!L442*0.9</f>
        <v>6287.61375</v>
      </c>
      <c r="M348" s="8">
        <f>'50 изол (каолин)'!M442*0.9</f>
        <v>6652.42875</v>
      </c>
    </row>
    <row r="349" ht="19.5" customHeight="1" spans="1:13">
      <c r="A349" s="35"/>
      <c r="B349" s="35"/>
      <c r="C349" s="35"/>
      <c r="D349" s="49"/>
      <c r="E349" s="35"/>
      <c r="F349" s="35"/>
      <c r="G349" s="49"/>
      <c r="H349" s="35"/>
      <c r="I349" s="35"/>
      <c r="J349" s="49"/>
      <c r="K349" s="35"/>
      <c r="L349" s="35"/>
      <c r="M349" s="35"/>
    </row>
    <row r="350" ht="19.5" customHeight="1" spans="1:13">
      <c r="A350" s="82" t="s">
        <v>35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9.5" customHeight="1" spans="1:13">
      <c r="A351" s="35"/>
      <c r="B351" s="35"/>
      <c r="C351" s="35"/>
      <c r="D351" s="49"/>
      <c r="E351" s="35"/>
      <c r="F351" s="35"/>
      <c r="G351" s="49"/>
      <c r="H351" s="35"/>
      <c r="I351" s="35"/>
      <c r="J351" s="49"/>
      <c r="K351" s="83" t="s">
        <v>127</v>
      </c>
    </row>
    <row r="352" ht="19.5" customHeight="1" spans="1:13">
      <c r="A352" s="35"/>
      <c r="B352" s="35"/>
      <c r="C352" s="35"/>
      <c r="D352" s="49"/>
      <c r="E352" s="35"/>
      <c r="F352" s="35"/>
      <c r="G352" s="49"/>
      <c r="H352" s="35"/>
      <c r="I352" s="35"/>
      <c r="J352" s="49"/>
    </row>
    <row r="353" ht="19.5" customHeight="1" spans="1:13">
      <c r="A353" s="92" t="s">
        <v>125</v>
      </c>
      <c r="B353" s="35"/>
      <c r="C353" s="35"/>
      <c r="D353" s="49"/>
      <c r="E353" s="35"/>
      <c r="F353" s="35"/>
      <c r="G353" s="49"/>
      <c r="H353" s="35"/>
      <c r="I353" s="35"/>
      <c r="J353" s="49"/>
    </row>
    <row r="354" ht="19.5" customHeight="1" spans="1:13">
      <c r="A354" s="92" t="s">
        <v>101</v>
      </c>
      <c r="B354" s="35"/>
      <c r="C354" s="35"/>
      <c r="D354" s="49"/>
      <c r="E354" s="35"/>
      <c r="F354" s="35"/>
      <c r="G354" s="49"/>
      <c r="H354" s="35"/>
      <c r="I354" s="35"/>
      <c r="J354" s="49"/>
      <c r="K354" s="35"/>
      <c r="L354" s="35"/>
      <c r="M354" s="35"/>
    </row>
    <row r="355" ht="19.5" customHeight="1" spans="1:13">
      <c r="A355" s="85" t="s">
        <v>128</v>
      </c>
    </row>
    <row r="356" ht="27" customHeight="1" spans="1:13">
      <c r="A356" s="17"/>
      <c r="B356" s="86" t="s">
        <v>129</v>
      </c>
      <c r="C356" s="86" t="s">
        <v>130</v>
      </c>
      <c r="D356" s="86" t="s">
        <v>131</v>
      </c>
      <c r="E356" s="86" t="s">
        <v>132</v>
      </c>
      <c r="F356" s="86" t="s">
        <v>133</v>
      </c>
      <c r="G356" s="86" t="s">
        <v>134</v>
      </c>
      <c r="H356" s="86" t="s">
        <v>135</v>
      </c>
      <c r="I356" s="86" t="s">
        <v>136</v>
      </c>
      <c r="J356" s="86" t="s">
        <v>137</v>
      </c>
      <c r="K356" s="86" t="s">
        <v>138</v>
      </c>
      <c r="L356" s="86" t="s">
        <v>139</v>
      </c>
      <c r="M356" s="86" t="s">
        <v>140</v>
      </c>
    </row>
    <row r="357" ht="19.5" customHeight="1" spans="1:13">
      <c r="A357" s="89" t="s">
        <v>68</v>
      </c>
      <c r="B357" s="8">
        <f>'50 изол (каолин)'!B451*0.9</f>
        <v>4689.50625</v>
      </c>
      <c r="C357" s="8">
        <f>'50 изол (каолин)'!C451*0.9</f>
        <v>4919.5575</v>
      </c>
      <c r="D357" s="88">
        <f>'50 изол (каолин)'!D451*0.9</f>
        <v>5340.18375</v>
      </c>
      <c r="E357" s="8">
        <f>'50 изол (каолин)'!E451*0.9</f>
        <v>5964.9975</v>
      </c>
      <c r="F357" s="8">
        <f>'50 изол (каолин)'!F451*0.9</f>
        <v>6193.6875</v>
      </c>
      <c r="G357" s="88">
        <f>'50 изол (каолин)'!G451*0.9</f>
        <v>6357.0375</v>
      </c>
      <c r="H357" s="8">
        <f>'50 изол (каолин)'!H451*0.9</f>
        <v>7704.675</v>
      </c>
      <c r="I357" s="8">
        <f>'50 изол (каолин)'!I451*0.9</f>
        <v>8091.27</v>
      </c>
      <c r="J357" s="88">
        <f>'50 изол (каолин)'!J451*0.9</f>
        <v>8487.39375</v>
      </c>
      <c r="K357" s="8">
        <f>'50 изол (каолин)'!K451*0.9</f>
        <v>10794.7125</v>
      </c>
      <c r="L357" s="8">
        <f>'50 изол (каолин)'!L451*0.9</f>
        <v>12179.10375</v>
      </c>
      <c r="M357" s="8">
        <f>'50 изол (каолин)'!M451*0.9</f>
        <v>13102.03125</v>
      </c>
    </row>
    <row r="358" ht="19.5" customHeight="1" spans="1:13">
      <c r="A358" s="89" t="s">
        <v>18</v>
      </c>
      <c r="B358" s="8">
        <f>'50 изол (каолин)'!B452*0.9</f>
        <v>3893.175</v>
      </c>
      <c r="C358" s="8">
        <f>'50 изол (каолин)'!C452*0.9</f>
        <v>4146.3675</v>
      </c>
      <c r="D358" s="88">
        <f>'50 изол (каолин)'!D452*0.9</f>
        <v>4543.8525</v>
      </c>
      <c r="E358" s="8">
        <f>'50 изол (каолин)'!E452*0.9</f>
        <v>5131.9125</v>
      </c>
      <c r="F358" s="8">
        <f>'50 изол (каолин)'!F452*0.9</f>
        <v>5308.875</v>
      </c>
      <c r="G358" s="88">
        <f>'50 изол (каолин)'!G452*0.9</f>
        <v>5468.14125</v>
      </c>
      <c r="H358" s="8">
        <f>'50 изол (каолин)'!H452*0.9</f>
        <v>6554.41875</v>
      </c>
      <c r="I358" s="8">
        <f>'50 изол (каолин)'!I452*0.9</f>
        <v>6901.5375</v>
      </c>
      <c r="J358" s="88">
        <f>'50 изол (каолин)'!J452*0.9</f>
        <v>7160.175</v>
      </c>
      <c r="K358" s="8">
        <f>'50 изол (каолин)'!K452*0.9</f>
        <v>9202.05</v>
      </c>
      <c r="L358" s="8">
        <f>'50 изол (каолин)'!L452*0.9</f>
        <v>10427.175</v>
      </c>
      <c r="M358" s="8">
        <f>'50 изол (каолин)'!M452*0.9</f>
        <v>11243.925</v>
      </c>
    </row>
    <row r="359" ht="19.5" customHeight="1" spans="1:13">
      <c r="A359" s="89" t="s">
        <v>19</v>
      </c>
      <c r="B359" s="8">
        <f>'50 изол (каолин)'!B453*0.9</f>
        <v>3231.6075</v>
      </c>
      <c r="C359" s="8">
        <f>'50 изол (каолин)'!C453*0.9</f>
        <v>3362.2875</v>
      </c>
      <c r="D359" s="88">
        <f>'50 изол (каолин)'!D453*0.9</f>
        <v>3716.2125</v>
      </c>
      <c r="E359" s="8">
        <f>'50 изол (каолин)'!E453*0.9</f>
        <v>4135.4775</v>
      </c>
      <c r="F359" s="8">
        <f>'50 изол (каолин)'!F453*0.9</f>
        <v>4335.58125</v>
      </c>
      <c r="G359" s="88">
        <f>'50 изол (каолин)'!G453*0.9</f>
        <v>4424.0625</v>
      </c>
      <c r="H359" s="8">
        <f>'50 изол (каолин)'!H453*0.9</f>
        <v>5404.1625</v>
      </c>
      <c r="I359" s="8">
        <f>'50 изол (каолин)'!I453*0.9</f>
        <v>5694.10875</v>
      </c>
      <c r="J359" s="88">
        <f>'50 изол (каолин)'!J453*0.9</f>
        <v>5914.63125</v>
      </c>
      <c r="K359" s="8">
        <f>'50 изол (каолин)'!K453*0.9</f>
        <v>7729.1775</v>
      </c>
      <c r="L359" s="8">
        <f>'50 изол (каолин)'!L453*0.9</f>
        <v>8819.53875</v>
      </c>
      <c r="M359" s="8">
        <f>'50 изол (каолин)'!M453*0.9</f>
        <v>9545.085</v>
      </c>
    </row>
    <row r="360" ht="19.5" customHeight="1" spans="1:13">
      <c r="A360" s="89" t="s">
        <v>20</v>
      </c>
      <c r="B360" s="8">
        <f>'50 изол (каолин)'!B454*0.9</f>
        <v>2605.4325</v>
      </c>
      <c r="C360" s="8">
        <f>'50 изол (каолин)'!C454*0.9</f>
        <v>2658.52125</v>
      </c>
      <c r="D360" s="88">
        <f>'50 изол (каолин)'!D454*0.9</f>
        <v>2941.66125</v>
      </c>
      <c r="E360" s="8">
        <f>'50 изол (каолин)'!E454*0.9</f>
        <v>3472.54875</v>
      </c>
      <c r="F360" s="8">
        <f>'50 изол (каолин)'!F454*0.9</f>
        <v>3597.78375</v>
      </c>
      <c r="G360" s="88">
        <f>'50 изол (каолин)'!G454*0.9</f>
        <v>3716.2125</v>
      </c>
      <c r="H360" s="8">
        <f>'50 изол (каолин)'!H454*0.9</f>
        <v>4229.40375</v>
      </c>
      <c r="I360" s="8">
        <f>'50 изол (каолин)'!I454*0.9</f>
        <v>4557.465</v>
      </c>
      <c r="J360" s="88">
        <f>'50 изол (каолин)'!J454*0.9</f>
        <v>5216.31</v>
      </c>
      <c r="K360" s="8">
        <f>'50 изол (каолин)'!K454*0.9</f>
        <v>6128.3475</v>
      </c>
      <c r="L360" s="8">
        <f>'50 изол (каолин)'!L454*0.9</f>
        <v>6675.57</v>
      </c>
      <c r="M360" s="8">
        <f>'50 изол (каолин)'!M454*0.9</f>
        <v>7002.27</v>
      </c>
    </row>
    <row r="361" ht="19.5" customHeight="1" spans="1:13">
      <c r="A361" s="89" t="s">
        <v>21</v>
      </c>
      <c r="B361" s="8">
        <f>'50 изол (каолин)'!B455*0.9</f>
        <v>2123.55</v>
      </c>
      <c r="C361" s="8">
        <f>'50 изол (каолин)'!C455*0.9</f>
        <v>2304.59625</v>
      </c>
      <c r="D361" s="88">
        <f>'50 изол (каолин)'!D455*0.9</f>
        <v>2477.475</v>
      </c>
      <c r="E361" s="8">
        <f>'50 изол (каолин)'!E455*0.9</f>
        <v>2695.275</v>
      </c>
      <c r="F361" s="8">
        <f>'50 изол (каолин)'!F455*0.9</f>
        <v>2943.0225</v>
      </c>
      <c r="G361" s="88">
        <f>'50 изол (каолин)'!G455*0.9</f>
        <v>3237.0525</v>
      </c>
      <c r="H361" s="8">
        <f>'50 изол (каолин)'!H455*0.9</f>
        <v>3326.895</v>
      </c>
      <c r="I361" s="8">
        <f>'50 изол (каолин)'!I455*0.9</f>
        <v>3561.03</v>
      </c>
      <c r="J361" s="88">
        <f>'50 изол (каолин)'!J455*0.9</f>
        <v>4044.27375</v>
      </c>
      <c r="K361" s="8">
        <f>'50 изол (каолин)'!K455*0.9</f>
        <v>4705.84125</v>
      </c>
      <c r="L361" s="8">
        <f>'50 изол (каолин)'!L455*0.9</f>
        <v>5101.965</v>
      </c>
      <c r="M361" s="8">
        <f>'50 изол (каолин)'!M455*0.9</f>
        <v>5340.18375</v>
      </c>
    </row>
    <row r="362" ht="19.5" customHeight="1" spans="1:13">
      <c r="A362" s="89" t="s">
        <v>22</v>
      </c>
      <c r="B362" s="8">
        <f>'50 изол (каолин)'!B456*0.9</f>
        <v>1833.60375</v>
      </c>
      <c r="C362" s="8">
        <f>'50 изол (каолин)'!C456*0.9</f>
        <v>1905.75</v>
      </c>
      <c r="D362" s="88">
        <f>'50 изол (каолин)'!D456*0.9</f>
        <v>2118.105</v>
      </c>
      <c r="E362" s="8">
        <f>'50 изол (каолин)'!E456*0.9</f>
        <v>2169.8325</v>
      </c>
      <c r="F362" s="8">
        <f>'50 изол (каолин)'!F456*0.9</f>
        <v>2318.20875</v>
      </c>
      <c r="G362" s="88">
        <f>'50 изол (каолин)'!G456*0.9</f>
        <v>2406.69</v>
      </c>
      <c r="H362" s="8">
        <f>'50 изол (каолин)'!H456*0.9</f>
        <v>2454.33375</v>
      </c>
      <c r="I362" s="8">
        <f>'50 изол (каолин)'!I456*0.9</f>
        <v>2587.73625</v>
      </c>
      <c r="J362" s="88">
        <f>'50 изол (каолин)'!J456*0.9</f>
        <v>2883.1275</v>
      </c>
      <c r="K362" s="8">
        <f>'50 изол (каолин)'!K456*0.9</f>
        <v>3284.69625</v>
      </c>
      <c r="L362" s="8">
        <f>'50 изол (каолин)'!L456*0.9</f>
        <v>3525.6375</v>
      </c>
      <c r="M362" s="8">
        <f>'50 изол (каолин)'!M456*0.9</f>
        <v>3669.93</v>
      </c>
    </row>
    <row r="363" ht="19.5" customHeight="1" spans="1:13">
      <c r="A363" s="89" t="s">
        <v>23</v>
      </c>
      <c r="B363" s="8">
        <f>'50 изол (каолин)'!B457*0.9</f>
        <v>4971.285</v>
      </c>
      <c r="C363" s="8">
        <f>'50 изол (каолин)'!C457*0.9</f>
        <v>5436.8325</v>
      </c>
      <c r="D363" s="88">
        <f>'50 изол (каолин)'!D457*0.9</f>
        <v>6079.3425</v>
      </c>
      <c r="E363" s="8">
        <f>'50 изол (каолин)'!E457*0.9</f>
        <v>6572.115</v>
      </c>
      <c r="F363" s="8">
        <f>'50 изол (каолин)'!F457*0.9</f>
        <v>7226.87625</v>
      </c>
      <c r="G363" s="88">
        <f>'50 изол (каолин)'!G457*0.9</f>
        <v>8088.5475</v>
      </c>
      <c r="H363" s="8">
        <f>'50 изол (каолин)'!H457*0.9</f>
        <v>8958.38625</v>
      </c>
      <c r="I363" s="8">
        <f>'50 изол (каолин)'!I457*0.9</f>
        <v>9272.835</v>
      </c>
      <c r="J363" s="88">
        <f>'50 изол (каолин)'!J457*0.9</f>
        <v>10433.98125</v>
      </c>
      <c r="K363" s="8">
        <f>'50 изол (каолин)'!K457*0.9</f>
        <v>13503.6</v>
      </c>
      <c r="L363" s="8">
        <f>'50 изол (каолин)'!L457*0.9</f>
        <v>15346.7325</v>
      </c>
      <c r="M363" s="8">
        <f>'50 изол (каолин)'!M457*0.9</f>
        <v>16574.58</v>
      </c>
    </row>
    <row r="364" ht="19.5" customHeight="1" spans="1:13">
      <c r="A364" s="89" t="s">
        <v>24</v>
      </c>
      <c r="B364" s="8">
        <f>'50 изол (каолин)'!B458*0.9</f>
        <v>4617.36</v>
      </c>
      <c r="C364" s="8">
        <f>'50 изол (каолин)'!C458*0.9</f>
        <v>5082.9075</v>
      </c>
      <c r="D364" s="88">
        <f>'50 изол (каолин)'!D458*0.9</f>
        <v>5725.4175</v>
      </c>
      <c r="E364" s="8">
        <f>'50 изол (каолин)'!E458*0.9</f>
        <v>6218.19</v>
      </c>
      <c r="F364" s="8">
        <f>'50 изол (каолин)'!F458*0.9</f>
        <v>6872.95125</v>
      </c>
      <c r="G364" s="88">
        <f>'50 изол (каолин)'!G458*0.9</f>
        <v>7734.6225</v>
      </c>
      <c r="H364" s="8">
        <f>'50 изол (каолин)'!H458*0.9</f>
        <v>8604.46125</v>
      </c>
      <c r="I364" s="8">
        <f>'50 изол (каолин)'!I458*0.9</f>
        <v>8918.91</v>
      </c>
      <c r="J364" s="88">
        <f>'50 изол (каолин)'!J458*0.9</f>
        <v>10080.05625</v>
      </c>
      <c r="K364" s="8">
        <f>'50 изол (каолин)'!K458*0.9</f>
        <v>13149.675</v>
      </c>
      <c r="L364" s="8">
        <f>'50 изол (каолин)'!L458*0.9</f>
        <v>14992.8075</v>
      </c>
      <c r="M364" s="8">
        <f>'50 изол (каолин)'!M458*0.9</f>
        <v>16220.655</v>
      </c>
    </row>
    <row r="365" ht="19.5" customHeight="1" spans="1:13">
      <c r="A365" s="89" t="s">
        <v>26</v>
      </c>
      <c r="B365" s="8">
        <f>'50 изол (каолин)'!B459*0.9</f>
        <v>7171.065</v>
      </c>
      <c r="C365" s="8">
        <f>'50 изол (каолин)'!C459*0.9</f>
        <v>7714.20375</v>
      </c>
      <c r="D365" s="88">
        <f>'50 изол (каолин)'!D459*0.9</f>
        <v>8352.63</v>
      </c>
      <c r="E365" s="8">
        <f>'50 изол (каолин)'!E459*0.9</f>
        <v>9037.33875</v>
      </c>
      <c r="F365" s="8">
        <f>'50 изол (каолин)'!F459*0.9</f>
        <v>9483.82875</v>
      </c>
      <c r="G365" s="88">
        <f>'50 изол (каолин)'!G459*0.9</f>
        <v>10221.62625</v>
      </c>
      <c r="H365" s="8">
        <f>'50 изол (каолин)'!H459*0.9</f>
        <v>10659.94875</v>
      </c>
      <c r="I365" s="8">
        <f>'50 изол (каолин)'!I459*0.9</f>
        <v>11650.93875</v>
      </c>
      <c r="J365" s="88">
        <f>'50 изол (каолин)'!J459*0.9</f>
        <v>13069.36125</v>
      </c>
      <c r="K365" s="8">
        <f>'50 изол (каолин)'!K459*0.9</f>
        <v>147042.225</v>
      </c>
      <c r="L365" s="8">
        <f>'50 изол (каолин)'!L459*0.9</f>
        <v>14638.8825</v>
      </c>
      <c r="M365" s="8">
        <f>'50 изол (каолин)'!M459*0.9</f>
        <v>15866.73</v>
      </c>
    </row>
    <row r="366" ht="19.5" customHeight="1" spans="1:13">
      <c r="A366" s="89" t="s">
        <v>27</v>
      </c>
      <c r="B366" s="8">
        <f>'50 изол (каолин)'!B460*0.9</f>
        <v>9543.72375</v>
      </c>
      <c r="C366" s="8">
        <f>'50 изол (каолин)'!C460*0.9</f>
        <v>10126.33875</v>
      </c>
      <c r="D366" s="88">
        <f>'50 изол (каолин)'!D460*0.9</f>
        <v>10454.4</v>
      </c>
      <c r="E366" s="8">
        <f>'50 изол (каолин)'!E460*0.9</f>
        <v>11087.38125</v>
      </c>
      <c r="F366" s="8">
        <f>'50 изол (каолин)'!F460*0.9</f>
        <v>11591.04375</v>
      </c>
      <c r="G366" s="88">
        <f>'50 изол (каолин)'!G460*0.9</f>
        <v>12817.53</v>
      </c>
      <c r="H366" s="8">
        <f>'50 изол (каолин)'!H460*0.9</f>
        <v>13612.5</v>
      </c>
      <c r="I366" s="8">
        <f>'50 изол (каолин)'!I460*0.9</f>
        <v>15378.04125</v>
      </c>
      <c r="J366" s="88">
        <f>'50 изол (каолин)'!J460*0.9</f>
        <v>18297.9225</v>
      </c>
      <c r="K366" s="8">
        <f>'50 изол (каолин)'!K460*0.9</f>
        <v>22200.62625</v>
      </c>
      <c r="L366" s="8">
        <f>'50 изол (каолин)'!L460*0.9</f>
        <v>24540.615</v>
      </c>
      <c r="M366" s="8">
        <f>'50 изол (каолин)'!M460*0.9</f>
        <v>25946.78625</v>
      </c>
    </row>
    <row r="367" ht="19.5" customHeight="1" spans="1:13">
      <c r="A367" s="89" t="s">
        <v>70</v>
      </c>
      <c r="B367" s="8">
        <f>'50 изол (каолин)'!B461*0.9</f>
        <v>17609.13</v>
      </c>
      <c r="C367" s="8">
        <f>'50 изол (каолин)'!C461*0.9</f>
        <v>18180.855</v>
      </c>
      <c r="D367" s="88">
        <f>'50 изол (каолин)'!D461*0.9</f>
        <v>18647.76375</v>
      </c>
      <c r="E367" s="8">
        <f>'50 изол (каолин)'!E461*0.9</f>
        <v>19178.65125</v>
      </c>
      <c r="F367" s="8">
        <f>'50 изол (каолин)'!F461*0.9</f>
        <v>19780.32375</v>
      </c>
      <c r="G367" s="88">
        <f>'50 изол (каолин)'!G461*0.9</f>
        <v>21141.57375</v>
      </c>
      <c r="H367" s="8">
        <f>'50 изол (каолин)'!H461*0.9</f>
        <v>21873.92625</v>
      </c>
      <c r="I367" s="8">
        <f>'50 изол (каолин)'!I461*0.9</f>
        <v>23461.14375</v>
      </c>
      <c r="J367" s="88">
        <f>'50 изол (каолин)'!J461*0.9</f>
        <v>26178.19875</v>
      </c>
      <c r="K367" s="8">
        <f>'50 изол (каолин)'!K461*0.9</f>
        <v>30775.14</v>
      </c>
      <c r="L367" s="8">
        <f>'50 изол (каолин)'!L461*0.9</f>
        <v>33534.39375</v>
      </c>
      <c r="M367" s="8">
        <f>'50 изол (каолин)'!M461*0.9</f>
        <v>35189.67375</v>
      </c>
    </row>
    <row r="368" ht="19.5" customHeight="1" spans="1:13">
      <c r="A368" s="89" t="s">
        <v>32</v>
      </c>
      <c r="B368" s="8">
        <f>'50 изол (каолин)'!B462*0.9</f>
        <v>2058.21</v>
      </c>
      <c r="C368" s="8">
        <f>'50 изол (каолин)'!C462*0.9</f>
        <v>2099.0475</v>
      </c>
      <c r="D368" s="88">
        <f>'50 изол (каолин)'!D462*0.9</f>
        <v>2142.6075</v>
      </c>
      <c r="E368" s="8">
        <f>'50 изол (каолин)'!E462*0.9</f>
        <v>2360.4075</v>
      </c>
      <c r="F368" s="8">
        <f>'50 изол (каолин)'!F462*0.9</f>
        <v>2578.2075</v>
      </c>
      <c r="G368" s="88">
        <f>'50 изол (каолин)'!G462*0.9</f>
        <v>2696.63625</v>
      </c>
      <c r="H368" s="8">
        <f>'50 изол (каолин)'!H462*0.9</f>
        <v>2919.88125</v>
      </c>
      <c r="I368" s="8">
        <f>'50 изол (каолин)'!I462*0.9</f>
        <v>3013.8075</v>
      </c>
      <c r="J368" s="88">
        <f>'50 изол (каолин)'!J462*0.9</f>
        <v>3322.81125</v>
      </c>
      <c r="K368" s="8">
        <f>'50 изол (каолин)'!K462*0.9</f>
        <v>3697.155</v>
      </c>
      <c r="L368" s="8">
        <f>'50 изол (каолин)'!L462*0.9</f>
        <v>3921.76125</v>
      </c>
      <c r="M368" s="8">
        <f>'50 изол (каолин)'!M462*0.9</f>
        <v>4056.525</v>
      </c>
    </row>
    <row r="369" ht="19.5" customHeight="1" spans="1:13">
      <c r="A369" s="89" t="s">
        <v>81</v>
      </c>
      <c r="B369" s="8">
        <f>'50 изол (каолин)'!B463*0.9</f>
        <v>5831.595</v>
      </c>
      <c r="C369" s="8">
        <f>'50 изол (каолин)'!C463*0.9</f>
        <v>6023.53125</v>
      </c>
      <c r="D369" s="88">
        <f>'50 изол (каолин)'!D463*0.9</f>
        <v>6079.3425</v>
      </c>
      <c r="E369" s="8">
        <f>'50 изол (каолин)'!E463*0.9</f>
        <v>6309.39375</v>
      </c>
      <c r="F369" s="8">
        <f>'50 изол (каолин)'!F463*0.9</f>
        <v>6535.36125</v>
      </c>
      <c r="G369" s="88">
        <f>'50 изол (каолин)'!G463*0.9</f>
        <v>7173.7875</v>
      </c>
      <c r="H369" s="8">
        <f>'50 изол (каолин)'!H463*0.9</f>
        <v>7750.9575</v>
      </c>
      <c r="I369" s="8">
        <f>'50 изол (каолин)'!I463*0.9</f>
        <v>8341.74</v>
      </c>
      <c r="J369" s="88">
        <f>'50 изол (каолин)'!J463*0.9</f>
        <v>9202.05</v>
      </c>
      <c r="K369" s="8">
        <f>'50 изол (каолин)'!K463*0.9</f>
        <v>11555.65125</v>
      </c>
      <c r="L369" s="8">
        <f>'50 изол (каолин)'!L463*0.9</f>
        <v>12967.2675</v>
      </c>
      <c r="M369" s="8">
        <f>'50 изол (каолин)'!M463*0.9</f>
        <v>13815.32625</v>
      </c>
    </row>
    <row r="370" ht="19.5" customHeight="1" spans="1:13">
      <c r="A370" s="89" t="s">
        <v>82</v>
      </c>
      <c r="B370" s="8">
        <f>'50 изол (каолин)'!B464*0.9</f>
        <v>7105.725</v>
      </c>
      <c r="C370" s="8">
        <f>'50 изол (каолин)'!C464*0.9</f>
        <v>7380.6975</v>
      </c>
      <c r="D370" s="88">
        <f>'50 изол (каолин)'!D464*0.9</f>
        <v>7433.78625</v>
      </c>
      <c r="E370" s="8">
        <f>'50 изол (каолин)'!E464*0.9</f>
        <v>7757.76375</v>
      </c>
      <c r="F370" s="8">
        <f>'50 изол (каолин)'!F464*0.9</f>
        <v>8079.01875</v>
      </c>
      <c r="G370" s="88">
        <f>'50 изол (каолин)'!G464*0.9</f>
        <v>8705.19375</v>
      </c>
      <c r="H370" s="8">
        <f>'50 изол (каолин)'!H464*0.9</f>
        <v>9042.78375</v>
      </c>
      <c r="I370" s="8">
        <f>'50 изол (каолин)'!I464*0.9</f>
        <v>9764.24625</v>
      </c>
      <c r="J370" s="88">
        <f>'50 изол (каолин)'!J464*0.9</f>
        <v>10892.7225</v>
      </c>
      <c r="K370" s="8">
        <f>'50 изол (каолин)'!K464*0.9</f>
        <v>13353.8625</v>
      </c>
      <c r="L370" s="8">
        <f>'50 изол (каолин)'!L464*0.9</f>
        <v>14830.81875</v>
      </c>
      <c r="M370" s="8">
        <f>'50 изол (каолин)'!M464*0.9</f>
        <v>15715.63125</v>
      </c>
    </row>
    <row r="371" ht="19.5" customHeight="1" spans="1:13">
      <c r="A371" s="89" t="s">
        <v>39</v>
      </c>
      <c r="B371" s="8">
        <f>'50 изол (каолин)'!B465*0.9</f>
        <v>4831.07625</v>
      </c>
      <c r="C371" s="8">
        <f>'50 изол (каолин)'!C465*0.9</f>
        <v>4895.055</v>
      </c>
      <c r="D371" s="88">
        <f>'50 изол (каолин)'!D465*0.9</f>
        <v>5035.26375</v>
      </c>
      <c r="E371" s="8">
        <f>'50 изол (каолин)'!E465*0.9</f>
        <v>5514.42375</v>
      </c>
      <c r="F371" s="8">
        <f>'50 изол (каолин)'!F465*0.9</f>
        <v>5827.51125</v>
      </c>
      <c r="G371" s="88">
        <f>'50 изол (каолин)'!G465*0.9</f>
        <v>6317.56125</v>
      </c>
      <c r="H371" s="8">
        <f>'50 изол (каолин)'!H465*0.9</f>
        <v>6407.40375</v>
      </c>
      <c r="I371" s="8">
        <f>'50 изол (каолин)'!I465*0.9</f>
        <v>6653.79</v>
      </c>
      <c r="J371" s="88">
        <f>'50 изол (каолин)'!J465*0.9</f>
        <v>7190.1225</v>
      </c>
      <c r="K371" s="8">
        <f>'50 изол (каолин)'!K465*0.9</f>
        <v>8407.08</v>
      </c>
      <c r="L371" s="8">
        <f>'50 изол (каолин)'!L465*0.9</f>
        <v>9138.07125</v>
      </c>
      <c r="M371" s="8">
        <f>'50 изол (каолин)'!M465*0.9</f>
        <v>9575.0325</v>
      </c>
    </row>
    <row r="372" ht="19.5" customHeight="1" spans="1:13">
      <c r="A372" s="35"/>
      <c r="B372" s="35"/>
      <c r="C372" s="35"/>
      <c r="D372" s="49"/>
      <c r="E372" s="35"/>
      <c r="F372" s="35"/>
      <c r="G372" s="49"/>
      <c r="H372" s="35"/>
      <c r="I372" s="35"/>
      <c r="J372" s="49"/>
      <c r="K372" s="35"/>
      <c r="L372" s="35"/>
      <c r="M372" s="35"/>
    </row>
    <row r="373" ht="19.5" customHeight="1" spans="1:13">
      <c r="A373" s="82" t="s">
        <v>35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9.5" customHeight="1" spans="1:13">
      <c r="A374" s="35"/>
      <c r="B374" s="35"/>
      <c r="C374" s="35"/>
      <c r="D374" s="49"/>
      <c r="E374" s="35"/>
      <c r="F374" s="35"/>
      <c r="G374" s="49"/>
      <c r="H374" s="35"/>
      <c r="I374" s="35"/>
      <c r="J374" s="49"/>
      <c r="K374" s="83" t="s">
        <v>127</v>
      </c>
    </row>
    <row r="375" ht="19.5" customHeight="1" spans="1:13">
      <c r="A375" s="35"/>
      <c r="B375" s="35"/>
      <c r="C375" s="35"/>
      <c r="D375" s="49"/>
      <c r="E375" s="35"/>
      <c r="F375" s="35"/>
      <c r="G375" s="49"/>
      <c r="H375" s="35"/>
      <c r="I375" s="35"/>
      <c r="J375" s="49"/>
    </row>
    <row r="376" ht="19.5" customHeight="1" spans="1:13">
      <c r="A376" s="92" t="s">
        <v>124</v>
      </c>
      <c r="B376" s="35"/>
      <c r="C376" s="35"/>
      <c r="D376" s="49"/>
      <c r="E376" s="35"/>
      <c r="F376" s="35"/>
      <c r="G376" s="49"/>
      <c r="H376" s="35"/>
      <c r="I376" s="35"/>
      <c r="J376" s="49"/>
    </row>
    <row r="377" ht="19.5" customHeight="1" spans="1:13">
      <c r="A377" s="92" t="s">
        <v>118</v>
      </c>
      <c r="B377" s="35"/>
      <c r="C377" s="35"/>
      <c r="D377" s="49"/>
      <c r="E377" s="35"/>
      <c r="F377" s="35"/>
      <c r="G377" s="49"/>
      <c r="H377" s="35"/>
      <c r="I377" s="35"/>
      <c r="J377" s="49"/>
      <c r="K377" s="35"/>
      <c r="L377" s="35"/>
      <c r="M377" s="35"/>
    </row>
    <row r="378" ht="19.5" customHeight="1" spans="1:13">
      <c r="A378" s="85" t="s">
        <v>128</v>
      </c>
    </row>
    <row r="379" ht="27" customHeight="1" spans="1:13">
      <c r="A379" s="17"/>
      <c r="B379" s="86" t="s">
        <v>129</v>
      </c>
      <c r="C379" s="86" t="s">
        <v>130</v>
      </c>
      <c r="D379" s="86" t="s">
        <v>131</v>
      </c>
      <c r="E379" s="86" t="s">
        <v>132</v>
      </c>
      <c r="F379" s="86" t="s">
        <v>133</v>
      </c>
      <c r="G379" s="86" t="s">
        <v>134</v>
      </c>
      <c r="H379" s="86" t="s">
        <v>135</v>
      </c>
      <c r="I379" s="86" t="s">
        <v>136</v>
      </c>
      <c r="J379" s="86" t="s">
        <v>137</v>
      </c>
      <c r="K379" s="86" t="s">
        <v>138</v>
      </c>
      <c r="L379" s="86" t="s">
        <v>139</v>
      </c>
      <c r="M379" s="86" t="s">
        <v>140</v>
      </c>
    </row>
    <row r="380" ht="19.5" customHeight="1" spans="1:13">
      <c r="A380" s="89" t="s">
        <v>68</v>
      </c>
      <c r="B380" s="8">
        <f>'50 изол (каолин)'!B474*0.9</f>
        <v>4079.2455</v>
      </c>
      <c r="C380" s="8">
        <f>'50 изол (каолин)'!C474*0.9</f>
        <v>4147.5555</v>
      </c>
      <c r="D380" s="88">
        <f>'50 изол (каолин)'!D474*0.9</f>
        <v>4444.704</v>
      </c>
      <c r="E380" s="8">
        <f>'50 изол (каолин)'!E474*0.9</f>
        <v>4804.47</v>
      </c>
      <c r="F380" s="8">
        <f>'50 изол (каолин)'!F474*0.9</f>
        <v>5180.175</v>
      </c>
      <c r="G380" s="88">
        <f>'50 изол (каолин)'!G474*0.9</f>
        <v>5402.1825</v>
      </c>
      <c r="H380" s="8">
        <f>'50 изол (каолин)'!H474*0.9</f>
        <v>5665.176</v>
      </c>
      <c r="I380" s="8">
        <f>'50 изол (каолин)'!I474*0.9</f>
        <v>6216.21</v>
      </c>
      <c r="J380" s="88">
        <f>'50 изол (каолин)'!J474*0.9</f>
        <v>6808.23</v>
      </c>
      <c r="K380" s="8">
        <f>'50 изол (каолин)'!K474*0.9</f>
        <v>8288.28</v>
      </c>
      <c r="L380" s="8">
        <f>'50 изол (каолин)'!L474*0.9</f>
        <v>9176.31</v>
      </c>
      <c r="M380" s="8">
        <f>'50 изол (каолин)'!M474*0.9</f>
        <v>9768.33</v>
      </c>
    </row>
    <row r="381" ht="19.5" customHeight="1" spans="1:13">
      <c r="A381" s="89" t="s">
        <v>18</v>
      </c>
      <c r="B381" s="8">
        <f>'50 изол (каолин)'!B475*0.9</f>
        <v>3343.7745</v>
      </c>
      <c r="C381" s="8">
        <f>'50 изол (каолин)'!C475*0.9</f>
        <v>3597.66</v>
      </c>
      <c r="D381" s="88">
        <f>'50 изол (каолин)'!D475*0.9</f>
        <v>3906.1935</v>
      </c>
      <c r="E381" s="8">
        <f>'50 изол (каолин)'!E475*0.9</f>
        <v>4178.295</v>
      </c>
      <c r="F381" s="8">
        <f>'50 изол (каолин)'!F475*0.9</f>
        <v>4426.488</v>
      </c>
      <c r="G381" s="88">
        <f>'50 изол (каолин)'!G475*0.9</f>
        <v>4638.249</v>
      </c>
      <c r="H381" s="8">
        <f>'50 изол (каолин)'!H475*0.9</f>
        <v>4903.5195</v>
      </c>
      <c r="I381" s="8">
        <f>'50 изол (каолин)'!I475*0.9</f>
        <v>5602.5585</v>
      </c>
      <c r="J381" s="88">
        <f>'50 изол (каолин)'!J475*0.9</f>
        <v>5766.5025</v>
      </c>
      <c r="K381" s="8">
        <f>'50 изол (каолин)'!K475*0.9</f>
        <v>7104.24</v>
      </c>
      <c r="L381" s="8">
        <f>'50 изол (каолин)'!L475*0.9</f>
        <v>7725.861</v>
      </c>
      <c r="M381" s="8">
        <f>'50 изол (каолин)'!M475*0.9</f>
        <v>8175.5685</v>
      </c>
    </row>
    <row r="382" ht="19.5" customHeight="1" spans="1:13">
      <c r="A382" s="89" t="s">
        <v>19</v>
      </c>
      <c r="B382" s="8">
        <f>'50 изол (каолин)'!B476*0.9</f>
        <v>2604.888</v>
      </c>
      <c r="C382" s="8">
        <f>'50 изол (каолин)'!C476*0.9</f>
        <v>2823.48</v>
      </c>
      <c r="D382" s="88">
        <f>'50 изол (каолин)'!D476*0.9</f>
        <v>3078.504</v>
      </c>
      <c r="E382" s="8">
        <f>'50 изол (каолин)'!E476*0.9</f>
        <v>3309.6195</v>
      </c>
      <c r="F382" s="8">
        <f>'50 изол (каолин)'!F476*0.9</f>
        <v>3622.707</v>
      </c>
      <c r="G382" s="88">
        <f>'50 изол (каолин)'!G476*0.9</f>
        <v>3848.13</v>
      </c>
      <c r="H382" s="8">
        <f>'50 изол (каолин)'!H476*0.9</f>
        <v>4000.689</v>
      </c>
      <c r="I382" s="8">
        <f>'50 изол (каолин)'!I476*0.9</f>
        <v>4345.6545</v>
      </c>
      <c r="J382" s="88">
        <f>'50 изол (каолин)'!J476*0.9</f>
        <v>4736.16</v>
      </c>
      <c r="K382" s="8">
        <f>'50 изол (каолин)'!K476*0.9</f>
        <v>5772.195</v>
      </c>
      <c r="L382" s="8">
        <f>'50 изол (каолин)'!L476*0.9</f>
        <v>6393.816</v>
      </c>
      <c r="M382" s="8">
        <f>'50 изол (каолин)'!M476*0.9</f>
        <v>6808.23</v>
      </c>
    </row>
    <row r="383" ht="19.5" customHeight="1" spans="1:13">
      <c r="A383" s="89" t="s">
        <v>20</v>
      </c>
      <c r="B383" s="8">
        <f>'50 изол (каолин)'!B477*0.9</f>
        <v>2162.0115</v>
      </c>
      <c r="C383" s="8">
        <f>'50 изол (каолин)'!C477*0.9</f>
        <v>2358.972</v>
      </c>
      <c r="D383" s="88">
        <f>'50 изол (каолин)'!D477*0.9</f>
        <v>2580.9795</v>
      </c>
      <c r="E383" s="8">
        <f>'50 изол (каолин)'!E477*0.9</f>
        <v>2788.1865</v>
      </c>
      <c r="F383" s="8">
        <f>'50 изол (каолин)'!F477*0.9</f>
        <v>3004.5015</v>
      </c>
      <c r="G383" s="88">
        <f>'50 изол (каолин)'!G477*0.9</f>
        <v>3108.105</v>
      </c>
      <c r="H383" s="8">
        <f>'50 изол (каолин)'!H477*0.9</f>
        <v>3267.495</v>
      </c>
      <c r="I383" s="8">
        <f>'50 изол (каолин)'!I477*0.9</f>
        <v>3500.8875</v>
      </c>
      <c r="J383" s="88">
        <f>'50 изол (каолин)'!J477*0.9</f>
        <v>3848.13</v>
      </c>
      <c r="K383" s="8">
        <f>'50 изол (каолин)'!K477*0.9</f>
        <v>4635.972</v>
      </c>
      <c r="L383" s="8">
        <f>'50 изол (каолин)'!L477*0.9</f>
        <v>5107.311</v>
      </c>
      <c r="M383" s="8">
        <f>'50 изол (каолин)'!M477*0.9</f>
        <v>5422.6755</v>
      </c>
    </row>
    <row r="384" ht="19.5" customHeight="1" spans="1:13">
      <c r="A384" s="89" t="s">
        <v>21</v>
      </c>
      <c r="B384" s="8">
        <f>'50 изол (каолин)'!B478*0.9</f>
        <v>2051.577</v>
      </c>
      <c r="C384" s="8">
        <f>'50 изол (каолин)'!C478*0.9</f>
        <v>2076.624</v>
      </c>
      <c r="D384" s="88">
        <f>'50 изол (каолин)'!D478*0.9</f>
        <v>2165.427</v>
      </c>
      <c r="E384" s="8">
        <f>'50 изол (каолин)'!E478*0.9</f>
        <v>2229.183</v>
      </c>
      <c r="F384" s="8">
        <f>'50 изол (каолин)'!F478*0.9</f>
        <v>2394.2655</v>
      </c>
      <c r="G384" s="88">
        <f>'50 изол (каолин)'!G478*0.9</f>
        <v>2511.531</v>
      </c>
      <c r="H384" s="8">
        <f>'50 изол (каолин)'!H478*0.9</f>
        <v>2561.625</v>
      </c>
      <c r="I384" s="8">
        <f>'50 изол (каолин)'!I478*0.9</f>
        <v>2727.846</v>
      </c>
      <c r="J384" s="88">
        <f>'50 изол (каолин)'!J478*0.9</f>
        <v>3088.7505</v>
      </c>
      <c r="K384" s="8">
        <f>'50 изол (каолин)'!K478*0.9</f>
        <v>3555.5355</v>
      </c>
      <c r="L384" s="8">
        <f>'50 изол (каолин)'!L478*0.9</f>
        <v>3834.468</v>
      </c>
      <c r="M384" s="8">
        <f>'50 изол (каолин)'!M478*0.9</f>
        <v>4021.182</v>
      </c>
    </row>
    <row r="385" ht="19.5" customHeight="1" spans="1:13">
      <c r="A385" s="89" t="s">
        <v>22</v>
      </c>
      <c r="B385" s="8">
        <f>'50 изол (каолин)'!B479*0.9</f>
        <v>1564.299</v>
      </c>
      <c r="C385" s="8">
        <f>'50 изол (каолин)'!C479*0.9</f>
        <v>1579.0995</v>
      </c>
      <c r="D385" s="88">
        <f>'50 изол (каолин)'!D479*0.9</f>
        <v>1631.4705</v>
      </c>
      <c r="E385" s="8">
        <f>'50 изол (каолин)'!E479*0.9</f>
        <v>1669.041</v>
      </c>
      <c r="F385" s="8">
        <f>'50 изол (каолин)'!F479*0.9</f>
        <v>1765.8135</v>
      </c>
      <c r="G385" s="88">
        <f>'50 изол (каолин)'!G479*0.9</f>
        <v>1846.647</v>
      </c>
      <c r="H385" s="8">
        <f>'50 изол (каолин)'!H479*0.9</f>
        <v>1876.248</v>
      </c>
      <c r="I385" s="8">
        <f>'50 изол (каолин)'!I479*0.9</f>
        <v>2105.0865</v>
      </c>
      <c r="J385" s="88">
        <f>'50 изол (каолин)'!J479*0.9</f>
        <v>2332.7865</v>
      </c>
      <c r="K385" s="8">
        <f>'50 изол (каолин)'!K479*0.9</f>
        <v>2619.6885</v>
      </c>
      <c r="L385" s="8">
        <f>'50 изол (каолин)'!L479*0.9</f>
        <v>2791.602</v>
      </c>
      <c r="M385" s="8">
        <f>'50 изол (каолин)'!M479*0.9</f>
        <v>2906.5905</v>
      </c>
    </row>
    <row r="386" ht="19.5" customHeight="1" spans="1:13">
      <c r="A386" s="89" t="s">
        <v>23</v>
      </c>
      <c r="B386" s="8">
        <f>'50 изол (каолин)'!B480*0.9</f>
        <v>4614.3405</v>
      </c>
      <c r="C386" s="8">
        <f>'50 изол (каолин)'!C480*0.9</f>
        <v>4991.184</v>
      </c>
      <c r="D386" s="88">
        <f>'50 изол (каолин)'!D480*0.9</f>
        <v>5220.0225</v>
      </c>
      <c r="E386" s="8">
        <f>'50 изол (каолин)'!E480*0.9</f>
        <v>5760.81</v>
      </c>
      <c r="F386" s="8">
        <f>'50 изол (каолин)'!F480*0.9</f>
        <v>6136.515</v>
      </c>
      <c r="G386" s="88">
        <f>'50 изол (каолин)'!G480*0.9</f>
        <v>6523.605</v>
      </c>
      <c r="H386" s="8">
        <f>'50 изол (каолин)'!H480*0.9</f>
        <v>6893.6175</v>
      </c>
      <c r="I386" s="8">
        <f>'50 изол (каолин)'!I480*0.9</f>
        <v>7731.5535</v>
      </c>
      <c r="J386" s="88">
        <f>'50 изол (каолин)'!J480*0.9</f>
        <v>8587.7055</v>
      </c>
      <c r="K386" s="8">
        <f>'50 изол (каолин)'!K480*0.9</f>
        <v>10769.0715</v>
      </c>
      <c r="L386" s="8">
        <f>'50 изол (каолин)'!L480*0.9</f>
        <v>11870.001</v>
      </c>
      <c r="M386" s="8">
        <f>'50 изол (каолин)'!M480*0.9</f>
        <v>12435.8355</v>
      </c>
    </row>
    <row r="387" ht="19.5" customHeight="1" spans="1:13">
      <c r="A387" s="89" t="s">
        <v>24</v>
      </c>
      <c r="B387" s="8">
        <f>'50 изол (каолин)'!B481*0.9</f>
        <v>4318.3305</v>
      </c>
      <c r="C387" s="8">
        <f>'50 изол (каолин)'!C481*0.9</f>
        <v>4695.174</v>
      </c>
      <c r="D387" s="88">
        <f>'50 изол (каолин)'!D481*0.9</f>
        <v>4924.0125</v>
      </c>
      <c r="E387" s="8">
        <f>'50 изол (каолин)'!E481*0.9</f>
        <v>5464.8</v>
      </c>
      <c r="F387" s="8">
        <f>'50 изол (каолин)'!F481*0.9</f>
        <v>5840.505</v>
      </c>
      <c r="G387" s="88">
        <f>'50 изол (каолин)'!G481*0.9</f>
        <v>6227.595</v>
      </c>
      <c r="H387" s="8">
        <f>'50 изол (каолин)'!H481*0.9</f>
        <v>6597.6075</v>
      </c>
      <c r="I387" s="8">
        <f>'50 изол (каолин)'!I481*0.9</f>
        <v>7435.5435</v>
      </c>
      <c r="J387" s="88">
        <f>'50 изол (каолин)'!J481*0.9</f>
        <v>8291.6955</v>
      </c>
      <c r="K387" s="8">
        <f>'50 изол (каолин)'!K481*0.9</f>
        <v>10473.0615</v>
      </c>
      <c r="L387" s="8">
        <f>'50 изол (каолин)'!L481*0.9</f>
        <v>11573.991</v>
      </c>
      <c r="M387" s="8">
        <f>'50 изол (каолин)'!M481*0.9</f>
        <v>12139.8255</v>
      </c>
    </row>
    <row r="388" ht="19.5" customHeight="1" spans="1:13">
      <c r="A388" s="89" t="s">
        <v>26</v>
      </c>
      <c r="B388" s="8">
        <f>'50 изол (каолин)'!B482*0.9</f>
        <v>5535.387</v>
      </c>
      <c r="C388" s="8">
        <f>'50 изол (каолин)'!C482*0.9</f>
        <v>5908.815</v>
      </c>
      <c r="D388" s="88">
        <f>'50 изол (каолин)'!D482*0.9</f>
        <v>6389.262</v>
      </c>
      <c r="E388" s="8">
        <f>'50 изол (каолин)'!E482*0.9</f>
        <v>7189.6275</v>
      </c>
      <c r="F388" s="8">
        <f>'50 изол (каолин)'!F482*0.9</f>
        <v>7278.4305</v>
      </c>
      <c r="G388" s="88">
        <f>'50 изол (каолин)'!G482*0.9</f>
        <v>7770.2625</v>
      </c>
      <c r="H388" s="8">
        <f>'50 изол (каолин)'!H482*0.9</f>
        <v>8207.4465</v>
      </c>
      <c r="I388" s="8">
        <f>'50 изол (каолин)'!I482*0.9</f>
        <v>9127.3545</v>
      </c>
      <c r="J388" s="88">
        <f>'50 изол (каолин)'!J482*0.9</f>
        <v>9912.9195</v>
      </c>
      <c r="K388" s="8">
        <f>'50 изол (каолин)'!K482*0.9</f>
        <v>12175.119</v>
      </c>
      <c r="L388" s="8">
        <f>'50 изол (каолин)'!L482*0.9</f>
        <v>13532.211</v>
      </c>
      <c r="M388" s="8">
        <f>'50 изол (каолин)'!M482*0.9</f>
        <v>14436.18</v>
      </c>
    </row>
    <row r="389" ht="19.5" customHeight="1" spans="1:13">
      <c r="A389" s="89" t="s">
        <v>27</v>
      </c>
      <c r="B389" s="8">
        <f>'50 изол (каолин)'!B483*0.9</f>
        <v>7483.3605</v>
      </c>
      <c r="C389" s="8">
        <f>'50 изол (каолин)'!C483*0.9</f>
        <v>7864.758</v>
      </c>
      <c r="D389" s="88">
        <f>'50 изол (каолин)'!D483*0.9</f>
        <v>8218.8315</v>
      </c>
      <c r="E389" s="8">
        <f>'50 изол (каолин)'!E483*0.9</f>
        <v>8805.159</v>
      </c>
      <c r="F389" s="8">
        <f>'50 изол (каолин)'!F483*0.9</f>
        <v>9265.113</v>
      </c>
      <c r="G389" s="88">
        <f>'50 изол (каолин)'!G483*0.9</f>
        <v>10276.101</v>
      </c>
      <c r="H389" s="8">
        <f>'50 изол (каолин)'!H483*0.9</f>
        <v>11391.831</v>
      </c>
      <c r="I389" s="8">
        <f>'50 изол (каолин)'!I483*0.9</f>
        <v>12549.6855</v>
      </c>
      <c r="J389" s="88">
        <f>'50 изол (каолин)'!J483*0.9</f>
        <v>14390.64</v>
      </c>
      <c r="K389" s="8">
        <f>'50 изол (каолин)'!K483*0.9</f>
        <v>16995.528</v>
      </c>
      <c r="L389" s="8">
        <f>'50 изол (каолин)'!L483*0.9</f>
        <v>18558.6885</v>
      </c>
      <c r="M389" s="8">
        <f>'50 изол (каолин)'!M483*0.9</f>
        <v>19496.8125</v>
      </c>
    </row>
    <row r="390" ht="19.5" customHeight="1" spans="1:13">
      <c r="A390" s="89" t="s">
        <v>70</v>
      </c>
      <c r="B390" s="8">
        <f>'50 изол (каолин)'!B484*0.9</f>
        <v>13537.9035</v>
      </c>
      <c r="C390" s="8">
        <f>'50 изол (каолин)'!C484*0.9</f>
        <v>13992.165</v>
      </c>
      <c r="D390" s="88">
        <f>'50 изол (каолин)'!D484*0.9</f>
        <v>14382.6705</v>
      </c>
      <c r="E390" s="8">
        <f>'50 изол (каолин)'!E484*0.9</f>
        <v>14816.439</v>
      </c>
      <c r="F390" s="8">
        <f>'50 изол (каолин)'!F484*0.9</f>
        <v>15299.163</v>
      </c>
      <c r="G390" s="88">
        <f>'50 изол (каолин)'!G484*0.9</f>
        <v>16363.6605</v>
      </c>
      <c r="H390" s="8">
        <f>'50 изол (каолин)'!H484*0.9</f>
        <v>16937.4645</v>
      </c>
      <c r="I390" s="8">
        <f>'50 изол (каолин)'!I484*0.9</f>
        <v>18175.014</v>
      </c>
      <c r="J390" s="88">
        <f>'50 изол (каолин)'!J484*0.9</f>
        <v>20428.1055</v>
      </c>
      <c r="K390" s="8">
        <f>'50 изол (каолин)'!K484*0.9</f>
        <v>24301.2825</v>
      </c>
      <c r="L390" s="8">
        <f>'50 изол (каолин)'!L484*0.9</f>
        <v>26624.961</v>
      </c>
      <c r="M390" s="8">
        <f>'50 изол (каолин)'!M484*0.9</f>
        <v>28240.4925</v>
      </c>
    </row>
    <row r="391" ht="19.5" customHeight="1" spans="1:13">
      <c r="A391" s="89" t="s">
        <v>71</v>
      </c>
      <c r="B391" s="8">
        <f>'50 изол (каолин)'!B485*0.9</f>
        <v>1623.501</v>
      </c>
      <c r="C391" s="8">
        <f>'50 изол (каолин)'!C485*0.9</f>
        <v>1657.656</v>
      </c>
      <c r="D391" s="88">
        <f>'50 изол (каолин)'!D485*0.9</f>
        <v>1776.06</v>
      </c>
      <c r="E391" s="8">
        <f>'50 изол (каолин)'!E485*0.9</f>
        <v>1968.4665</v>
      </c>
      <c r="F391" s="8">
        <f>'50 изол (каолин)'!F485*0.9</f>
        <v>2115.333</v>
      </c>
      <c r="G391" s="88">
        <f>'50 изол (каолин)'!G485*0.9</f>
        <v>2243.9835</v>
      </c>
      <c r="H391" s="8">
        <f>'50 изол (каолин)'!H485*0.9</f>
        <v>2436.39</v>
      </c>
      <c r="I391" s="8">
        <f>'50 изол (каолин)'!I485*0.9</f>
        <v>2516.085</v>
      </c>
      <c r="J391" s="88">
        <f>'50 изол (каолин)'!J485*0.9</f>
        <v>2812.095</v>
      </c>
      <c r="K391" s="8">
        <f>'50 изол (каолин)'!K485*0.9</f>
        <v>3217.401</v>
      </c>
      <c r="L391" s="8">
        <f>'50 изол (каолин)'!L485*0.9</f>
        <v>3459.9015</v>
      </c>
      <c r="M391" s="8">
        <f>'50 изол (каолин)'!M485*0.9</f>
        <v>3606.768</v>
      </c>
    </row>
    <row r="392" ht="19.5" customHeight="1" spans="1:13">
      <c r="A392" s="89" t="s">
        <v>72</v>
      </c>
      <c r="B392" s="8">
        <f>'50 изол (каолин)'!B486*0.9</f>
        <v>4547.169</v>
      </c>
      <c r="C392" s="8">
        <f>'50 изол (каолин)'!C486*0.9</f>
        <v>4687.2045</v>
      </c>
      <c r="D392" s="88">
        <f>'50 изол (каолин)'!D486*0.9</f>
        <v>4752.099</v>
      </c>
      <c r="E392" s="8">
        <f>'50 изол (каолин)'!E486*0.9</f>
        <v>4936.536</v>
      </c>
      <c r="F392" s="8">
        <f>'50 изол (каолин)'!F486*0.9</f>
        <v>5100.48</v>
      </c>
      <c r="G392" s="88">
        <f>'50 изол (каолин)'!G486*0.9</f>
        <v>5492.124</v>
      </c>
      <c r="H392" s="8">
        <f>'50 изол (каолин)'!H486*0.9</f>
        <v>5674.284</v>
      </c>
      <c r="I392" s="8">
        <f>'50 изол (каолин)'!I486*0.9</f>
        <v>6073.8975</v>
      </c>
      <c r="J392" s="88">
        <f>'50 изол (каолин)'!J486*0.9</f>
        <v>6813.9225</v>
      </c>
      <c r="K392" s="8">
        <f>'50 изол (каолин)'!K486*0.9</f>
        <v>8219.97</v>
      </c>
      <c r="L392" s="8">
        <f>'50 изол (каолин)'!L486*0.9</f>
        <v>9063.5985</v>
      </c>
      <c r="M392" s="8">
        <f>'50 изол (каолин)'!M486*0.9</f>
        <v>9570.231</v>
      </c>
    </row>
    <row r="393" ht="19.5" customHeight="1" spans="1:13">
      <c r="A393" s="89" t="s">
        <v>73</v>
      </c>
      <c r="B393" s="8">
        <f>'50 изол (каолин)'!B487*0.9</f>
        <v>1843.2315</v>
      </c>
      <c r="C393" s="8">
        <f>'50 изол (каолин)'!C487*0.9</f>
        <v>1919.511</v>
      </c>
      <c r="D393" s="88">
        <f>'50 изол (каолин)'!D487*0.9</f>
        <v>2056.131</v>
      </c>
      <c r="E393" s="8">
        <f>'50 изол (каолин)'!E487*0.9</f>
        <v>2168.8425</v>
      </c>
      <c r="F393" s="8">
        <f>'50 изол (каолин)'!F487*0.9</f>
        <v>2249.676</v>
      </c>
      <c r="G393" s="88">
        <f>'50 изол (каолин)'!G487*0.9</f>
        <v>2521.7775</v>
      </c>
      <c r="H393" s="8">
        <f>'50 изол (каолин)'!H487*0.9</f>
        <v>2699.3835</v>
      </c>
      <c r="I393" s="8">
        <f>'50 изол (каолин)'!I487*0.9</f>
        <v>3143.3985</v>
      </c>
      <c r="J393" s="88">
        <f>'50 изол (каолин)'!J487*0.9</f>
        <v>3409.8075</v>
      </c>
      <c r="K393" s="8">
        <f>'50 изол (каолин)'!K487*0.9</f>
        <v>4182.849</v>
      </c>
      <c r="L393" s="8">
        <f>'50 изол (каолин)'!L487*0.9</f>
        <v>4646.2185</v>
      </c>
      <c r="M393" s="8">
        <f>'50 изол (каолин)'!M487*0.9</f>
        <v>4924.0125</v>
      </c>
    </row>
    <row r="394" ht="19.5" customHeight="1" spans="1:13">
      <c r="A394" s="89" t="s">
        <v>74</v>
      </c>
      <c r="B394" s="8">
        <f>'50 изол (каолин)'!B488*0.9</f>
        <v>2327.094</v>
      </c>
      <c r="C394" s="8">
        <f>'50 изол (каолин)'!C488*0.9</f>
        <v>2442.0825</v>
      </c>
      <c r="D394" s="88">
        <f>'50 изол (каолин)'!D488*0.9</f>
        <v>2604.888</v>
      </c>
      <c r="E394" s="8">
        <f>'50 изол (каолин)'!E488*0.9</f>
        <v>2698.245</v>
      </c>
      <c r="F394" s="8">
        <f>'50 изол (каолин)'!F488*0.9</f>
        <v>2842.8345</v>
      </c>
      <c r="G394" s="88">
        <f>'50 изол (каолин)'!G488*0.9</f>
        <v>3310.758</v>
      </c>
      <c r="H394" s="8">
        <f>'50 изол (каолин)'!H488*0.9</f>
        <v>3532.7655</v>
      </c>
      <c r="I394" s="8">
        <f>'50 изол (каолин)'!I488*0.9</f>
        <v>3920.994</v>
      </c>
      <c r="J394" s="88">
        <f>'50 изол (каолин)'!J488*0.9</f>
        <v>4371.84</v>
      </c>
      <c r="K394" s="8">
        <f>'50 изол (каолин)'!K488*0.9</f>
        <v>5248.485</v>
      </c>
      <c r="L394" s="8">
        <f>'50 изол (каолин)'!L488*0.9</f>
        <v>5773.3335</v>
      </c>
      <c r="M394" s="8">
        <f>'50 изол (каолин)'!M488*0.9</f>
        <v>6088.698</v>
      </c>
    </row>
    <row r="395" ht="19.5" customHeight="1" spans="1:13">
      <c r="A395" s="89" t="s">
        <v>77</v>
      </c>
      <c r="B395" s="8">
        <f>'50 изол (каолин)'!B489*0.9</f>
        <v>3071.673</v>
      </c>
      <c r="C395" s="8">
        <f>'50 изол (каолин)'!C489*0.9</f>
        <v>3152.5065</v>
      </c>
      <c r="D395" s="88">
        <f>'50 изол (каолин)'!D489*0.9</f>
        <v>3408.669</v>
      </c>
      <c r="E395" s="8">
        <f>'50 изол (каолин)'!E489*0.9</f>
        <v>3700.125</v>
      </c>
      <c r="F395" s="8">
        <f>'50 изол (каолин)'!F489*0.9</f>
        <v>3922.1325</v>
      </c>
      <c r="G395" s="88">
        <f>'50 изол (каолин)'!G489*0.9</f>
        <v>4207.896</v>
      </c>
      <c r="H395" s="8">
        <f>'50 изол (каолин)'!H489*0.9</f>
        <v>4503.906</v>
      </c>
      <c r="I395" s="8">
        <f>'50 изол (каолин)'!I489*0.9</f>
        <v>4957.029</v>
      </c>
      <c r="J395" s="88">
        <f>'50 изол (каолин)'!J489*0.9</f>
        <v>5461.3845</v>
      </c>
      <c r="K395" s="8">
        <f>'50 изол (каолин)'!K489*0.9</f>
        <v>5846.1975</v>
      </c>
      <c r="L395" s="8">
        <f>'50 изол (каолин)'!L489*0.9</f>
        <v>5899.707</v>
      </c>
      <c r="M395" s="8">
        <f>'50 изол (каолин)'!M489*0.9</f>
        <v>5935.0005</v>
      </c>
    </row>
    <row r="396" ht="19.5" customHeight="1" spans="1:13">
      <c r="A396" s="35"/>
      <c r="B396" s="35"/>
      <c r="C396" s="35"/>
      <c r="D396" s="49"/>
      <c r="E396" s="35"/>
      <c r="F396" s="35"/>
      <c r="G396" s="49"/>
      <c r="H396" s="35"/>
      <c r="I396" s="35"/>
      <c r="J396" s="49"/>
      <c r="K396" s="35"/>
      <c r="L396" s="35"/>
      <c r="M396" s="35"/>
    </row>
    <row r="397" ht="19.5" customHeight="1" spans="1:13">
      <c r="A397" s="82" t="s">
        <v>35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9.5" customHeight="1" spans="1:13">
      <c r="A398" s="35"/>
      <c r="B398" s="35"/>
      <c r="C398" s="35"/>
      <c r="D398" s="49"/>
      <c r="E398" s="35"/>
      <c r="F398" s="35"/>
      <c r="G398" s="49"/>
      <c r="H398" s="35"/>
      <c r="I398" s="35"/>
      <c r="J398" s="49"/>
      <c r="K398" s="83" t="s">
        <v>127</v>
      </c>
    </row>
    <row r="399" ht="19.5" customHeight="1" spans="1:13">
      <c r="A399" s="35"/>
      <c r="B399" s="35"/>
      <c r="C399" s="35"/>
      <c r="D399" s="49"/>
      <c r="E399" s="35"/>
      <c r="F399" s="35"/>
      <c r="G399" s="49"/>
      <c r="H399" s="35"/>
      <c r="I399" s="35"/>
      <c r="J399" s="49"/>
    </row>
    <row r="400" ht="19.5" customHeight="1" spans="1:13">
      <c r="A400" s="92" t="s">
        <v>125</v>
      </c>
      <c r="B400" s="35"/>
      <c r="C400" s="35"/>
      <c r="D400" s="49"/>
      <c r="E400" s="35"/>
      <c r="F400" s="35"/>
      <c r="G400" s="49"/>
      <c r="H400" s="35"/>
      <c r="I400" s="35"/>
      <c r="J400" s="49"/>
    </row>
    <row r="401" ht="19.5" customHeight="1" spans="1:13">
      <c r="A401" s="92" t="s">
        <v>118</v>
      </c>
      <c r="B401" s="35"/>
      <c r="C401" s="35"/>
      <c r="D401" s="49"/>
      <c r="E401" s="35"/>
      <c r="F401" s="35"/>
      <c r="G401" s="49"/>
      <c r="H401" s="35"/>
      <c r="I401" s="35"/>
      <c r="J401" s="49"/>
      <c r="K401" s="35"/>
      <c r="L401" s="35"/>
      <c r="M401" s="35"/>
    </row>
    <row r="402" ht="19.5" customHeight="1" spans="1:13">
      <c r="A402" s="85" t="s">
        <v>128</v>
      </c>
    </row>
    <row r="403" ht="27" customHeight="1" spans="1:13">
      <c r="A403" s="17"/>
      <c r="B403" s="86" t="s">
        <v>129</v>
      </c>
      <c r="C403" s="86" t="s">
        <v>130</v>
      </c>
      <c r="D403" s="86" t="s">
        <v>131</v>
      </c>
      <c r="E403" s="86" t="s">
        <v>132</v>
      </c>
      <c r="F403" s="86" t="s">
        <v>133</v>
      </c>
      <c r="G403" s="86" t="s">
        <v>134</v>
      </c>
      <c r="H403" s="86" t="s">
        <v>135</v>
      </c>
      <c r="I403" s="86" t="s">
        <v>136</v>
      </c>
      <c r="J403" s="86" t="s">
        <v>137</v>
      </c>
      <c r="K403" s="86" t="s">
        <v>138</v>
      </c>
      <c r="L403" s="86" t="s">
        <v>139</v>
      </c>
      <c r="M403" s="86" t="s">
        <v>140</v>
      </c>
    </row>
    <row r="404" ht="19.5" customHeight="1" spans="1:13">
      <c r="A404" s="89" t="s">
        <v>68</v>
      </c>
      <c r="B404" s="8">
        <f>'50 изол (каолин)'!B498*0.9</f>
        <v>5907.391875</v>
      </c>
      <c r="C404" s="8">
        <f>'50 изол (каолин)'!C498*0.9</f>
        <v>6429.67875</v>
      </c>
      <c r="D404" s="88">
        <f>'50 изол (каолин)'!D498*0.9</f>
        <v>6845.23125</v>
      </c>
      <c r="E404" s="8">
        <f>'50 изол (каолин)'!E498*0.9</f>
        <v>7418.750625</v>
      </c>
      <c r="F404" s="8">
        <f>'50 изол (каолин)'!F498*0.9</f>
        <v>7868.458125</v>
      </c>
      <c r="G404" s="88">
        <f>'50 изол (каолин)'!G498*0.9</f>
        <v>8212.854375</v>
      </c>
      <c r="H404" s="8">
        <f>'50 изол (каолин)'!H498*0.9</f>
        <v>9004.111875</v>
      </c>
      <c r="I404" s="8">
        <f>'50 изол (каолин)'!I498*0.9</f>
        <v>9833.79375</v>
      </c>
      <c r="J404" s="88">
        <f>'50 изол (каолин)'!J498*0.9</f>
        <v>10573.81875</v>
      </c>
      <c r="K404" s="8">
        <f>'50 изол (каолин)'!K498*0.9</f>
        <v>13505.45625</v>
      </c>
      <c r="L404" s="8">
        <f>'50 изол (каолин)'!L498*0.9</f>
        <v>14800.5</v>
      </c>
      <c r="M404" s="8">
        <f>'50 изол (каолин)'!M498*0.9</f>
        <v>15910.5375</v>
      </c>
    </row>
    <row r="405" ht="19.5" customHeight="1" spans="1:13">
      <c r="A405" s="89" t="s">
        <v>18</v>
      </c>
      <c r="B405" s="8">
        <f>'50 изол (каолин)'!B499*0.9</f>
        <v>5097.63375</v>
      </c>
      <c r="C405" s="8">
        <f>'50 изол (каолин)'!C499*0.9</f>
        <v>5437.760625</v>
      </c>
      <c r="D405" s="88">
        <f>'50 изол (каолин)'!D499*0.9</f>
        <v>5920.2</v>
      </c>
      <c r="E405" s="8">
        <f>'50 изол (каолин)'!E499*0.9</f>
        <v>6273.135</v>
      </c>
      <c r="F405" s="8">
        <f>'50 изол (каолин)'!F499*0.9</f>
        <v>6660.225</v>
      </c>
      <c r="G405" s="88">
        <f>'50 изол (каолин)'!G499*0.9</f>
        <v>6832.423125</v>
      </c>
      <c r="H405" s="8">
        <f>'50 изол (каолин)'!H499*0.9</f>
        <v>7751.761875</v>
      </c>
      <c r="I405" s="8">
        <f>'50 изол (каолин)'!I499*0.9</f>
        <v>8604.21375</v>
      </c>
      <c r="J405" s="88">
        <f>'50 изол (каолин)'!J499*0.9</f>
        <v>8880.3</v>
      </c>
      <c r="K405" s="8">
        <f>'50 изол (каолин)'!K499*0.9</f>
        <v>11470.3875</v>
      </c>
      <c r="L405" s="8">
        <f>'50 изол (каолин)'!L499*0.9</f>
        <v>12580.425</v>
      </c>
      <c r="M405" s="8">
        <f>'50 изол (каолин)'!M499*0.9</f>
        <v>13597.959375</v>
      </c>
    </row>
    <row r="406" ht="19.5" customHeight="1" spans="1:13">
      <c r="A406" s="89" t="s">
        <v>19</v>
      </c>
      <c r="B406" s="8">
        <f>'50 изол (каолин)'!B500*0.9</f>
        <v>4158.37125</v>
      </c>
      <c r="C406" s="8">
        <f>'50 изол (каолин)'!C500*0.9</f>
        <v>4447.265625</v>
      </c>
      <c r="D406" s="88">
        <f>'50 изол (каолин)'!D500*0.9</f>
        <v>4810.1625</v>
      </c>
      <c r="E406" s="8">
        <f>'50 изол (каолин)'!E500*0.9</f>
        <v>5126.09625</v>
      </c>
      <c r="F406" s="8">
        <f>'50 изол (каолин)'!F500*0.9</f>
        <v>5443.453125</v>
      </c>
      <c r="G406" s="88">
        <f>'50 изол (каолин)'!G500*0.9</f>
        <v>6008.43375</v>
      </c>
      <c r="H406" s="8">
        <f>'50 изол (каолин)'!H500*0.9</f>
        <v>6312.9825</v>
      </c>
      <c r="I406" s="8">
        <f>'50 изол (каолин)'!I500*0.9</f>
        <v>7004.62125</v>
      </c>
      <c r="J406" s="88">
        <f>'50 изол (каолин)'!J500*0.9</f>
        <v>7400.25</v>
      </c>
      <c r="K406" s="8">
        <f>'50 изол (каолин)'!K500*0.9</f>
        <v>9492.24375</v>
      </c>
      <c r="L406" s="8">
        <f>'50 изол (каолин)'!L500*0.9</f>
        <v>10472.776875</v>
      </c>
      <c r="M406" s="8">
        <f>'50 изол (каолин)'!M500*0.9</f>
        <v>11125.99125</v>
      </c>
    </row>
    <row r="407" ht="19.5" customHeight="1" spans="1:13">
      <c r="A407" s="89" t="s">
        <v>20</v>
      </c>
      <c r="B407" s="8">
        <f>'50 изол (каолин)'!B501*0.9</f>
        <v>3796.8975</v>
      </c>
      <c r="C407" s="8">
        <f>'50 изол (каолин)'!C501*0.9</f>
        <v>3885.13125</v>
      </c>
      <c r="D407" s="88">
        <f>'50 изол (каолин)'!D501*0.9</f>
        <v>4105.715625</v>
      </c>
      <c r="E407" s="8">
        <f>'50 изол (каолин)'!E501*0.9</f>
        <v>4259.413125</v>
      </c>
      <c r="F407" s="8">
        <f>'50 изол (каолин)'!F501*0.9</f>
        <v>4662.1575</v>
      </c>
      <c r="G407" s="88">
        <f>'50 изол (каолин)'!G501*0.9</f>
        <v>4859.971875</v>
      </c>
      <c r="H407" s="8">
        <f>'50 изол (каолин)'!H501*0.9</f>
        <v>5002.284375</v>
      </c>
      <c r="I407" s="8">
        <f>'50 изол (каолин)'!I501*0.9</f>
        <v>5389.374375</v>
      </c>
      <c r="J407" s="88">
        <f>'50 изол (каолин)'!J501*0.9</f>
        <v>6179.20875</v>
      </c>
      <c r="K407" s="8">
        <f>'50 изол (каолин)'!K501*0.9</f>
        <v>7243.70625</v>
      </c>
      <c r="L407" s="8">
        <f>'50 изол (каолин)'!L501*0.9</f>
        <v>7881.26625</v>
      </c>
      <c r="M407" s="8">
        <f>'50 изол (каолин)'!M501*0.9</f>
        <v>8264.086875</v>
      </c>
    </row>
    <row r="408" ht="19.5" customHeight="1" spans="1:13">
      <c r="A408" s="89" t="s">
        <v>21</v>
      </c>
      <c r="B408" s="8">
        <f>'50 изол (каолин)'!B502*0.9</f>
        <v>3019.87125</v>
      </c>
      <c r="C408" s="8">
        <f>'50 изол (каолин)'!C502*0.9</f>
        <v>3083.911875</v>
      </c>
      <c r="D408" s="88">
        <f>'50 изол (каолин)'!D502*0.9</f>
        <v>3241.87875</v>
      </c>
      <c r="E408" s="8">
        <f>'50 изол (каолин)'!E502*0.9</f>
        <v>3350.03625</v>
      </c>
      <c r="F408" s="8">
        <f>'50 изол (каолин)'!F502*0.9</f>
        <v>3638.930625</v>
      </c>
      <c r="G408" s="88">
        <f>'50 изол (каолин)'!G502*0.9</f>
        <v>3792.628125</v>
      </c>
      <c r="H408" s="8">
        <f>'50 изол (каолин)'!H502*0.9</f>
        <v>3895.093125</v>
      </c>
      <c r="I408" s="8">
        <f>'50 изол (каолин)'!I502*0.9</f>
        <v>4169.75625</v>
      </c>
      <c r="J408" s="88">
        <f>'50 изол (каолин)'!J502*0.9</f>
        <v>4746.121875</v>
      </c>
      <c r="K408" s="8">
        <f>'50 изол (каолин)'!K502*0.9</f>
        <v>5518.87875</v>
      </c>
      <c r="L408" s="8">
        <f>'50 изол (каолин)'!L502*0.9</f>
        <v>5982.8175</v>
      </c>
      <c r="M408" s="8">
        <f>'50 изол (каолин)'!M502*0.9</f>
        <v>6260.326875</v>
      </c>
    </row>
    <row r="409" ht="19.5" customHeight="1" spans="1:13">
      <c r="A409" s="89" t="s">
        <v>22</v>
      </c>
      <c r="B409" s="8">
        <f>'50 изол (каолин)'!B503*0.9</f>
        <v>2275.576875</v>
      </c>
      <c r="C409" s="8">
        <f>'50 изол (каолин)'!C503*0.9</f>
        <v>2311.155</v>
      </c>
      <c r="D409" s="88">
        <f>'50 изол (каолин)'!D503*0.9</f>
        <v>2399.38875</v>
      </c>
      <c r="E409" s="8">
        <f>'50 изол (каолин)'!E503*0.9</f>
        <v>2460.583125</v>
      </c>
      <c r="F409" s="8">
        <f>'50 изол (каолин)'!F503*0.9</f>
        <v>2625.665625</v>
      </c>
      <c r="G409" s="88">
        <f>'50 изол (каолин)'!G503*0.9</f>
        <v>2732.4</v>
      </c>
      <c r="H409" s="8">
        <f>'50 изол (каолин)'!H503*0.9</f>
        <v>2789.325</v>
      </c>
      <c r="I409" s="8">
        <f>'50 изол (каолин)'!I503*0.9</f>
        <v>2945.86875</v>
      </c>
      <c r="J409" s="88">
        <f>'50 изол (каолин)'!J503*0.9</f>
        <v>3294.534375</v>
      </c>
      <c r="K409" s="8">
        <f>'50 изол (каолин)'!K503*0.9</f>
        <v>3751.3575</v>
      </c>
      <c r="L409" s="8">
        <f>'50 изол (каолин)'!L503*0.9</f>
        <v>4026.020625</v>
      </c>
      <c r="M409" s="8">
        <f>'50 изол (каолин)'!M503*0.9</f>
        <v>4191.103125</v>
      </c>
    </row>
    <row r="410" ht="19.5" customHeight="1" spans="1:13">
      <c r="A410" s="89" t="s">
        <v>23</v>
      </c>
      <c r="B410" s="8">
        <f>'50 изол (каолин)'!B504*0.9</f>
        <v>6839.53875</v>
      </c>
      <c r="C410" s="8">
        <f>'50 изол (каолин)'!C504*0.9</f>
        <v>7296.361875</v>
      </c>
      <c r="D410" s="88">
        <f>'50 изол (каолин)'!D504*0.9</f>
        <v>8023.57875</v>
      </c>
      <c r="E410" s="8">
        <f>'50 изол (каолин)'!E504*0.9</f>
        <v>8552.98125</v>
      </c>
      <c r="F410" s="8">
        <f>'50 изол (каолин)'!F504*0.9</f>
        <v>9244.62</v>
      </c>
      <c r="G410" s="88">
        <f>'50 изол (каолин)'!G504*0.9</f>
        <v>10169.65125</v>
      </c>
      <c r="H410" s="8">
        <f>'50 изол (каолин)'!H504*0.9</f>
        <v>11093.259375</v>
      </c>
      <c r="I410" s="8">
        <f>'50 изол (каолин)'!I504*0.9</f>
        <v>11446.194375</v>
      </c>
      <c r="J410" s="88">
        <f>'50 изол (каолин)'!J504*0.9</f>
        <v>12587.540625</v>
      </c>
      <c r="K410" s="8">
        <f>'50 изол (каолин)'!K504*0.9</f>
        <v>15867.84375</v>
      </c>
      <c r="L410" s="8">
        <f>'50 изол (каолин)'!L504*0.9</f>
        <v>17836.025625</v>
      </c>
      <c r="M410" s="8">
        <f>'50 изол (каолин)'!M504*0.9</f>
        <v>19148.146875</v>
      </c>
    </row>
    <row r="411" ht="19.5" customHeight="1" spans="1:13">
      <c r="A411" s="89" t="s">
        <v>24</v>
      </c>
      <c r="B411" s="8">
        <f>'50 изол (каолин)'!B505*0.9</f>
        <v>7750.33875</v>
      </c>
      <c r="C411" s="8">
        <f>'50 изол (каолин)'!C505*0.9</f>
        <v>6926.349375</v>
      </c>
      <c r="D411" s="88">
        <f>'50 изол (каолин)'!D505*0.9</f>
        <v>7653.56625</v>
      </c>
      <c r="E411" s="8">
        <f>'50 изол (каолин)'!E505*0.9</f>
        <v>8182.96875</v>
      </c>
      <c r="F411" s="8">
        <f>'50 изол (каолин)'!F505*0.9</f>
        <v>8874.6075</v>
      </c>
      <c r="G411" s="88">
        <f>'50 изол (каолин)'!G505*0.9</f>
        <v>9799.63875</v>
      </c>
      <c r="H411" s="8">
        <f>'50 изол (каолин)'!H505*0.9</f>
        <v>10723.246875</v>
      </c>
      <c r="I411" s="8">
        <f>'50 изол (каолин)'!I505*0.9</f>
        <v>11076.181875</v>
      </c>
      <c r="J411" s="88">
        <f>'50 изол (каолин)'!J505*0.9</f>
        <v>12217.528125</v>
      </c>
      <c r="K411" s="8">
        <f>'50 изол (каолин)'!K505*0.9</f>
        <v>15497.83125</v>
      </c>
      <c r="L411" s="8">
        <f>'50 изол (каолин)'!L505*0.9</f>
        <v>17466.013125</v>
      </c>
      <c r="M411" s="8">
        <f>'50 изол (каолин)'!M505*0.9</f>
        <v>18778.134375</v>
      </c>
    </row>
    <row r="412" ht="19.5" customHeight="1" spans="1:13">
      <c r="A412" s="89" t="s">
        <v>26</v>
      </c>
      <c r="B412" s="8">
        <f>'50 изол (каолин)'!B506*0.9</f>
        <v>8101.850625</v>
      </c>
      <c r="C412" s="8">
        <f>'50 изол (каолин)'!C506*0.9</f>
        <v>8873.184375</v>
      </c>
      <c r="D412" s="88">
        <f>'50 изол (каолин)'!D506*0.9</f>
        <v>9559.130625</v>
      </c>
      <c r="E412" s="8">
        <f>'50 изол (каолин)'!E506*0.9</f>
        <v>10296.309375</v>
      </c>
      <c r="F412" s="8">
        <f>'50 изол (каолин)'!F506*0.9</f>
        <v>10713.285</v>
      </c>
      <c r="G412" s="88">
        <f>'50 изол (каолин)'!G506*0.9</f>
        <v>11524.46625</v>
      </c>
      <c r="H412" s="8">
        <f>'50 изол (каолин)'!H506*0.9</f>
        <v>12039.6375</v>
      </c>
      <c r="I412" s="8">
        <f>'50 изол (каолин)'!I506*0.9</f>
        <v>13163.90625</v>
      </c>
      <c r="J412" s="88">
        <f>'50 изол (каолин)'!J506*0.9</f>
        <v>14602.685625</v>
      </c>
      <c r="K412" s="8">
        <f>'50 изол (каолин)'!K506*0.9</f>
        <v>18085.0725</v>
      </c>
      <c r="L412" s="8">
        <f>'50 изол (каолин)'!L506*0.9</f>
        <v>20172.796875</v>
      </c>
      <c r="M412" s="8">
        <f>'50 изол (каолин)'!M506*0.9</f>
        <v>21566.03625</v>
      </c>
    </row>
    <row r="413" ht="19.5" customHeight="1" spans="1:13">
      <c r="A413" s="89" t="s">
        <v>27</v>
      </c>
      <c r="B413" s="8">
        <f>'50 изол (каолин)'!B507*0.9</f>
        <v>10689.091875</v>
      </c>
      <c r="C413" s="8">
        <f>'50 изол (каолин)'!C507*0.9</f>
        <v>11228.45625</v>
      </c>
      <c r="D413" s="88">
        <f>'50 изол (каолин)'!D507*0.9</f>
        <v>11655.39375</v>
      </c>
      <c r="E413" s="8">
        <f>'50 изол (каолин)'!E507*0.9</f>
        <v>12332.80125</v>
      </c>
      <c r="F413" s="8">
        <f>'50 изол (каолин)'!F507*0.9</f>
        <v>13035.825</v>
      </c>
      <c r="G413" s="88">
        <f>'50 изол (каолин)'!G507*0.9</f>
        <v>14111.7075</v>
      </c>
      <c r="H413" s="8">
        <f>'50 изол (каолин)'!H507*0.9</f>
        <v>15018.238125</v>
      </c>
      <c r="I413" s="8">
        <f>'50 изол (каолин)'!I507*0.9</f>
        <v>17026.2675</v>
      </c>
      <c r="J413" s="88">
        <f>'50 изол (каолин)'!J507*0.9</f>
        <v>20098.794375</v>
      </c>
      <c r="K413" s="8">
        <f>'50 изол (каолин)'!K507*0.9</f>
        <v>24335.4375</v>
      </c>
      <c r="L413" s="8">
        <f>'50 изол (каолин)'!L507*0.9</f>
        <v>26877.13875</v>
      </c>
      <c r="M413" s="8">
        <f>'50 изол (каолин)'!M507*0.9</f>
        <v>28402.72875</v>
      </c>
    </row>
    <row r="414" ht="19.5" customHeight="1" spans="1:13">
      <c r="A414" s="89" t="s">
        <v>70</v>
      </c>
      <c r="B414" s="8">
        <f>'50 изол (каолин)'!B508*0.9</f>
        <v>19086.9525</v>
      </c>
      <c r="C414" s="8">
        <f>'50 изол (каолин)'!C508*0.9</f>
        <v>19735.8975</v>
      </c>
      <c r="D414" s="88">
        <f>'50 изол (каолин)'!D508*0.9</f>
        <v>20278.108125</v>
      </c>
      <c r="E414" s="8">
        <f>'50 изол (каолин)'!E508*0.9</f>
        <v>20891.475</v>
      </c>
      <c r="F414" s="8">
        <f>'50 изол (каолин)'!F508*0.9</f>
        <v>21577.42125</v>
      </c>
      <c r="G414" s="88">
        <f>'50 изол (каолин)'!G508*0.9</f>
        <v>23098.741875</v>
      </c>
      <c r="H414" s="8">
        <f>'50 изол (каолин)'!H508*0.9</f>
        <v>23927.000625</v>
      </c>
      <c r="I414" s="8">
        <f>'50 изол (каолин)'!I508*0.9</f>
        <v>25720.138125</v>
      </c>
      <c r="J414" s="88">
        <f>'50 изол (каолин)'!J508*0.9</f>
        <v>28751.394375</v>
      </c>
      <c r="K414" s="8">
        <f>'50 изол (каолин)'!K508*0.9</f>
        <v>34022.649375</v>
      </c>
      <c r="L414" s="8">
        <f>'50 изол (каолин)'!L508*0.9</f>
        <v>37184.833125</v>
      </c>
      <c r="M414" s="8">
        <f>'50 изол (каолин)'!M508*0.9</f>
        <v>39083.281875</v>
      </c>
    </row>
    <row r="415" ht="19.5" customHeight="1" spans="1:13">
      <c r="A415" s="89" t="s">
        <v>32</v>
      </c>
      <c r="B415" s="8">
        <f>'50 изол (каолин)'!B509*0.9</f>
        <v>2214.3825</v>
      </c>
      <c r="C415" s="8">
        <f>'50 изол (каолин)'!C509*0.9</f>
        <v>2257.07625</v>
      </c>
      <c r="D415" s="88">
        <f>'50 изол (каолин)'!D509*0.9</f>
        <v>2405.08125</v>
      </c>
      <c r="E415" s="8">
        <f>'50 изол (каолин)'!E509*0.9</f>
        <v>2645.589375</v>
      </c>
      <c r="F415" s="8">
        <f>'50 изол (каолин)'!F509*0.9</f>
        <v>2829.1725</v>
      </c>
      <c r="G415" s="88">
        <f>'50 изол (каолин)'!G509*0.9</f>
        <v>2989.985625</v>
      </c>
      <c r="H415" s="8">
        <f>'50 изол (каолин)'!H509*0.9</f>
        <v>3230.49375</v>
      </c>
      <c r="I415" s="8">
        <f>'50 изол (каолин)'!I509*0.9</f>
        <v>3330.1125</v>
      </c>
      <c r="J415" s="88">
        <f>'50 изол (каолин)'!J509*0.9</f>
        <v>3700.125</v>
      </c>
      <c r="K415" s="8">
        <f>'50 изол (каолин)'!K509*0.9</f>
        <v>4206.7575</v>
      </c>
      <c r="L415" s="8">
        <f>'50 изол (каолин)'!L509*0.9</f>
        <v>4509.883125</v>
      </c>
      <c r="M415" s="8">
        <f>'50 изол (каолин)'!M509*0.9</f>
        <v>4693.46625</v>
      </c>
    </row>
    <row r="416" ht="19.5" customHeight="1" spans="1:13">
      <c r="A416" s="89" t="s">
        <v>81</v>
      </c>
      <c r="B416" s="8">
        <f>'50 изол (каолин)'!B510*0.9</f>
        <v>6196.28625</v>
      </c>
      <c r="C416" s="8">
        <f>'50 изол (каолин)'!C510*0.9</f>
        <v>6458.14125</v>
      </c>
      <c r="D416" s="88">
        <f>'50 изол (каолин)'!D510*0.9</f>
        <v>6547.798125</v>
      </c>
      <c r="E416" s="8">
        <f>'50 изол (каолин)'!E510*0.9</f>
        <v>6838.115625</v>
      </c>
      <c r="F416" s="8">
        <f>'50 изол (каолин)'!F510*0.9</f>
        <v>7148.356875</v>
      </c>
      <c r="G416" s="88">
        <f>'50 изол (каолин)'!G510*0.9</f>
        <v>7898.34375</v>
      </c>
      <c r="H416" s="8">
        <f>'50 изол (каолин)'!H510*0.9</f>
        <v>8430.5925</v>
      </c>
      <c r="I416" s="8">
        <f>'50 изол (каолин)'!I510*0.9</f>
        <v>9267.39</v>
      </c>
      <c r="J416" s="88">
        <f>'50 изол (каолин)'!J510*0.9</f>
        <v>10370.311875</v>
      </c>
      <c r="K416" s="8">
        <f>'50 изол (каолин)'!K510*0.9</f>
        <v>12748.35375</v>
      </c>
      <c r="L416" s="8">
        <f>'50 изол (каолин)'!L510*0.9</f>
        <v>14177.17125</v>
      </c>
      <c r="M416" s="8">
        <f>'50 изол (каолин)'!M510*0.9</f>
        <v>15033.8925</v>
      </c>
    </row>
    <row r="417" ht="19.5" customHeight="1" spans="1:13">
      <c r="A417" s="89" t="s">
        <v>82</v>
      </c>
      <c r="B417" s="8">
        <f>'50 изол (каолин)'!B511*0.9</f>
        <v>8046.34875</v>
      </c>
      <c r="C417" s="8">
        <f>'50 изол (каолин)'!C511*0.9</f>
        <v>8308.20375</v>
      </c>
      <c r="D417" s="88">
        <f>'50 изол (каолин)'!D511*0.9</f>
        <v>8397.860625</v>
      </c>
      <c r="E417" s="8">
        <f>'50 изол (каолин)'!E511*0.9</f>
        <v>8688.178125</v>
      </c>
      <c r="F417" s="8">
        <f>'50 изол (каолин)'!F511*0.9</f>
        <v>8998.419375</v>
      </c>
      <c r="G417" s="88">
        <f>'50 изол (каолин)'!G511*0.9</f>
        <v>9748.40625</v>
      </c>
      <c r="H417" s="8">
        <f>'50 изол (каолин)'!H511*0.9</f>
        <v>10280.655</v>
      </c>
      <c r="I417" s="8">
        <f>'50 изол (каолин)'!I511*0.9</f>
        <v>11117.4525</v>
      </c>
      <c r="J417" s="88">
        <f>'50 изол (каолин)'!J511*0.9</f>
        <v>12220.374375</v>
      </c>
      <c r="K417" s="8">
        <f>'50 изол (каолин)'!K511*0.9</f>
        <v>14598.41625</v>
      </c>
      <c r="L417" s="8">
        <f>'50 изол (каолин)'!L511*0.9</f>
        <v>16027.23375</v>
      </c>
      <c r="M417" s="8">
        <f>'50 изол (каолин)'!M511*0.9</f>
        <v>16883.955</v>
      </c>
    </row>
    <row r="418" ht="19.5" customHeight="1" spans="1:13">
      <c r="A418" s="89" t="s">
        <v>39</v>
      </c>
      <c r="B418" s="8">
        <f>'50 изол (каолин)'!B512*0.9</f>
        <v>5550.1875</v>
      </c>
      <c r="C418" s="8">
        <f>'50 изол (каолин)'!C512*0.9</f>
        <v>6273.135</v>
      </c>
      <c r="D418" s="88">
        <f>'50 изол (каолин)'!D512*0.9</f>
        <v>6362.791875</v>
      </c>
      <c r="E418" s="8">
        <f>'50 изол (каолин)'!E512*0.9</f>
        <v>6653.109375</v>
      </c>
      <c r="F418" s="8">
        <f>'50 изол (каолин)'!F512*0.9</f>
        <v>6963.350625</v>
      </c>
      <c r="G418" s="88">
        <f>'50 изол (каолин)'!G512*0.9</f>
        <v>7528.33125</v>
      </c>
      <c r="H418" s="8">
        <f>'50 изол (каолин)'!H512*0.9</f>
        <v>7875.57375</v>
      </c>
      <c r="I418" s="8">
        <f>'50 изол (каолин)'!I512*0.9</f>
        <v>8527.365</v>
      </c>
      <c r="J418" s="88">
        <f>'50 изол (каолин)'!J512*0.9</f>
        <v>9439.588125</v>
      </c>
      <c r="K418" s="8">
        <f>'50 изол (каолин)'!K512*0.9</f>
        <v>11638.31625</v>
      </c>
      <c r="L418" s="8">
        <f>'50 изол (каолин)'!L512*0.9</f>
        <v>12957.553125</v>
      </c>
      <c r="M418" s="8">
        <f>'50 изол (каолин)'!M512*0.9</f>
        <v>13750.23375</v>
      </c>
    </row>
    <row r="419" ht="19.5" customHeight="1" spans="1:13">
      <c r="A419" s="35"/>
      <c r="B419" s="35"/>
      <c r="C419" s="35"/>
      <c r="D419" s="49"/>
      <c r="E419" s="35"/>
      <c r="F419" s="35"/>
      <c r="G419" s="49"/>
      <c r="H419" s="35"/>
      <c r="I419" s="35"/>
      <c r="J419" s="49"/>
      <c r="K419" s="35"/>
      <c r="L419" s="35"/>
      <c r="M419" s="35"/>
    </row>
    <row r="420" ht="19.5" customHeight="1" spans="1:13">
      <c r="A420" s="35"/>
      <c r="B420" s="35"/>
      <c r="C420" s="35"/>
      <c r="D420" s="49"/>
      <c r="E420" s="35"/>
      <c r="F420" s="35"/>
      <c r="G420" s="49"/>
      <c r="H420" s="35"/>
      <c r="I420" s="35"/>
      <c r="J420" s="49"/>
      <c r="K420" s="35"/>
      <c r="L420" s="35"/>
      <c r="M420" s="35"/>
    </row>
    <row r="421" ht="19.5" customHeight="1" spans="1:13">
      <c r="A421" s="35"/>
      <c r="B421" s="35"/>
      <c r="C421" s="35"/>
      <c r="D421" s="49"/>
      <c r="E421" s="35"/>
      <c r="F421" s="35"/>
      <c r="G421" s="49"/>
      <c r="H421" s="35"/>
      <c r="I421" s="35"/>
      <c r="J421" s="49"/>
      <c r="K421" s="35"/>
      <c r="L421" s="35"/>
      <c r="M421" s="35"/>
    </row>
    <row r="422" ht="19.5" customHeight="1" spans="1:13">
      <c r="A422" s="35"/>
      <c r="B422" s="35"/>
      <c r="C422" s="35"/>
      <c r="D422" s="49"/>
      <c r="E422" s="35"/>
      <c r="F422" s="35"/>
      <c r="G422" s="49"/>
      <c r="H422" s="35"/>
      <c r="I422" s="35"/>
      <c r="J422" s="49"/>
      <c r="K422" s="35"/>
      <c r="L422" s="35"/>
      <c r="M422" s="35"/>
    </row>
    <row r="423" ht="19.5" customHeight="1" spans="1:13">
      <c r="A423" s="35"/>
      <c r="B423" s="35"/>
      <c r="C423" s="35"/>
      <c r="D423" s="49"/>
      <c r="E423" s="35"/>
      <c r="F423" s="35"/>
      <c r="G423" s="49"/>
      <c r="H423" s="35"/>
      <c r="I423" s="35"/>
      <c r="J423" s="49"/>
      <c r="K423" s="35"/>
      <c r="L423" s="35"/>
      <c r="M423" s="35"/>
    </row>
    <row r="424" ht="19.5" customHeight="1" spans="1:13">
      <c r="A424" s="35"/>
      <c r="B424" s="35"/>
      <c r="C424" s="35"/>
      <c r="D424" s="49"/>
      <c r="E424" s="35"/>
      <c r="F424" s="35"/>
      <c r="G424" s="49"/>
      <c r="H424" s="35"/>
      <c r="I424" s="35"/>
      <c r="J424" s="49"/>
      <c r="K424" s="35"/>
      <c r="L424" s="35"/>
      <c r="M424" s="35"/>
    </row>
    <row r="425" ht="19.5" customHeight="1" spans="1:13">
      <c r="A425" s="35"/>
      <c r="B425" s="35"/>
      <c r="C425" s="35"/>
      <c r="D425" s="49"/>
      <c r="E425" s="35"/>
      <c r="F425" s="35"/>
      <c r="G425" s="49"/>
      <c r="H425" s="35"/>
      <c r="I425" s="35"/>
      <c r="J425" s="49"/>
      <c r="K425" s="35"/>
      <c r="L425" s="35"/>
      <c r="M425" s="35"/>
    </row>
    <row r="426" ht="19.5" customHeight="1" spans="1:13">
      <c r="A426" s="35"/>
      <c r="B426" s="35"/>
      <c r="C426" s="35"/>
      <c r="D426" s="49"/>
      <c r="E426" s="35"/>
      <c r="F426" s="35"/>
      <c r="G426" s="49"/>
      <c r="H426" s="35"/>
      <c r="I426" s="35"/>
      <c r="J426" s="49"/>
      <c r="K426" s="35"/>
      <c r="L426" s="35"/>
      <c r="M426" s="35"/>
    </row>
    <row r="427" ht="19.5" customHeight="1" spans="1:13">
      <c r="A427" s="35"/>
      <c r="B427" s="35"/>
      <c r="C427" s="35"/>
      <c r="D427" s="49"/>
      <c r="E427" s="35"/>
      <c r="F427" s="35"/>
      <c r="G427" s="49"/>
      <c r="H427" s="35"/>
      <c r="I427" s="35"/>
      <c r="J427" s="49"/>
      <c r="K427" s="35"/>
      <c r="L427" s="35"/>
      <c r="M427" s="35"/>
    </row>
    <row r="428" ht="19.5" customHeight="1" spans="1:13">
      <c r="A428" s="35"/>
      <c r="B428" s="35"/>
      <c r="C428" s="35"/>
      <c r="D428" s="49"/>
      <c r="E428" s="35"/>
      <c r="F428" s="35"/>
      <c r="G428" s="49"/>
      <c r="H428" s="35"/>
      <c r="I428" s="35"/>
      <c r="J428" s="49"/>
      <c r="K428" s="35"/>
      <c r="L428" s="35"/>
      <c r="M428" s="35"/>
    </row>
    <row r="429" ht="19.5" customHeight="1" spans="1:13">
      <c r="A429" s="35"/>
      <c r="B429" s="35"/>
      <c r="C429" s="35"/>
      <c r="D429" s="49"/>
      <c r="E429" s="35"/>
      <c r="F429" s="35"/>
      <c r="G429" s="49"/>
      <c r="H429" s="35"/>
      <c r="I429" s="35"/>
      <c r="J429" s="49"/>
      <c r="K429" s="35"/>
      <c r="L429" s="35"/>
      <c r="M429" s="35"/>
    </row>
    <row r="430" ht="19.5" customHeight="1" spans="1:13">
      <c r="A430" s="35"/>
      <c r="B430" s="35"/>
      <c r="C430" s="35"/>
      <c r="D430" s="49"/>
      <c r="E430" s="35"/>
      <c r="F430" s="35"/>
      <c r="G430" s="49"/>
      <c r="H430" s="35"/>
      <c r="I430" s="35"/>
      <c r="J430" s="49"/>
      <c r="K430" s="35"/>
      <c r="L430" s="35"/>
      <c r="M430" s="35"/>
    </row>
    <row r="431" ht="19.5" customHeight="1" spans="1:13">
      <c r="A431" s="35"/>
      <c r="B431" s="35"/>
      <c r="C431" s="35"/>
      <c r="D431" s="49"/>
      <c r="E431" s="35"/>
      <c r="F431" s="35"/>
      <c r="G431" s="49"/>
      <c r="H431" s="35"/>
      <c r="I431" s="35"/>
      <c r="J431" s="49"/>
      <c r="K431" s="35"/>
      <c r="L431" s="35"/>
      <c r="M431" s="35"/>
    </row>
    <row r="432" ht="19.5" customHeight="1" spans="1:13">
      <c r="A432" s="35"/>
      <c r="B432" s="35"/>
      <c r="C432" s="35"/>
      <c r="D432" s="49"/>
      <c r="E432" s="35"/>
      <c r="F432" s="35"/>
      <c r="G432" s="49"/>
      <c r="H432" s="35"/>
      <c r="I432" s="35"/>
      <c r="J432" s="49"/>
      <c r="K432" s="35"/>
      <c r="L432" s="35"/>
      <c r="M432" s="35"/>
    </row>
    <row r="433" ht="19.5" customHeight="1" spans="1:13">
      <c r="A433" s="35"/>
      <c r="B433" s="35"/>
      <c r="C433" s="35"/>
      <c r="D433" s="49"/>
      <c r="E433" s="35"/>
      <c r="F433" s="35"/>
      <c r="G433" s="49"/>
      <c r="H433" s="35"/>
      <c r="I433" s="35"/>
      <c r="J433" s="49"/>
      <c r="K433" s="35"/>
      <c r="L433" s="35"/>
      <c r="M433" s="35"/>
    </row>
    <row r="434" ht="19.5" customHeight="1" spans="1:13">
      <c r="A434" s="35"/>
      <c r="B434" s="35"/>
      <c r="C434" s="35"/>
      <c r="D434" s="49"/>
      <c r="E434" s="35"/>
      <c r="F434" s="35"/>
      <c r="G434" s="49"/>
      <c r="H434" s="35"/>
      <c r="I434" s="35"/>
      <c r="J434" s="49"/>
      <c r="K434" s="35"/>
      <c r="L434" s="35"/>
      <c r="M434" s="35"/>
    </row>
    <row r="435" ht="19.5" customHeight="1" spans="1:13">
      <c r="A435" s="35"/>
      <c r="B435" s="35"/>
      <c r="C435" s="35"/>
      <c r="D435" s="49"/>
      <c r="E435" s="35"/>
      <c r="F435" s="35"/>
      <c r="G435" s="49"/>
      <c r="H435" s="35"/>
      <c r="I435" s="35"/>
      <c r="J435" s="49"/>
      <c r="K435" s="35"/>
      <c r="L435" s="35"/>
      <c r="M435" s="35"/>
    </row>
    <row r="436" ht="19.5" customHeight="1" spans="1:13">
      <c r="A436" s="35"/>
      <c r="B436" s="35"/>
      <c r="C436" s="35"/>
      <c r="D436" s="49"/>
      <c r="E436" s="35"/>
      <c r="F436" s="35"/>
      <c r="G436" s="49"/>
      <c r="H436" s="35"/>
      <c r="I436" s="35"/>
      <c r="J436" s="49"/>
      <c r="K436" s="35"/>
      <c r="L436" s="35"/>
      <c r="M436" s="35"/>
    </row>
    <row r="437" ht="19.5" customHeight="1" spans="1:13">
      <c r="A437" s="35"/>
      <c r="B437" s="35"/>
      <c r="C437" s="35"/>
      <c r="D437" s="49"/>
      <c r="E437" s="35"/>
      <c r="F437" s="35"/>
      <c r="G437" s="49"/>
      <c r="H437" s="35"/>
      <c r="I437" s="35"/>
      <c r="J437" s="49"/>
      <c r="K437" s="35"/>
      <c r="L437" s="35"/>
      <c r="M437" s="35"/>
    </row>
    <row r="438" ht="19.5" customHeight="1" spans="1:13">
      <c r="A438" s="35"/>
      <c r="B438" s="35"/>
      <c r="C438" s="35"/>
      <c r="D438" s="49"/>
      <c r="E438" s="35"/>
      <c r="F438" s="35"/>
      <c r="G438" s="49"/>
      <c r="H438" s="35"/>
      <c r="I438" s="35"/>
      <c r="J438" s="49"/>
      <c r="K438" s="35"/>
      <c r="L438" s="35"/>
      <c r="M438" s="35"/>
    </row>
    <row r="439" ht="19.5" customHeight="1" spans="1:13">
      <c r="A439" s="35"/>
      <c r="B439" s="35"/>
      <c r="C439" s="35"/>
      <c r="D439" s="49"/>
      <c r="E439" s="35"/>
      <c r="F439" s="35"/>
      <c r="G439" s="49"/>
      <c r="H439" s="35"/>
      <c r="I439" s="35"/>
      <c r="J439" s="49"/>
      <c r="K439" s="35"/>
      <c r="L439" s="35"/>
      <c r="M439" s="35"/>
    </row>
    <row r="440" ht="19.5" customHeight="1" spans="1:13">
      <c r="A440" s="35"/>
      <c r="B440" s="35"/>
      <c r="C440" s="35"/>
      <c r="D440" s="49"/>
      <c r="E440" s="35"/>
      <c r="F440" s="35"/>
      <c r="G440" s="49"/>
      <c r="H440" s="35"/>
      <c r="I440" s="35"/>
      <c r="J440" s="49"/>
      <c r="K440" s="35"/>
      <c r="L440" s="35"/>
      <c r="M440" s="35"/>
    </row>
    <row r="441" ht="19.5" customHeight="1" spans="1:13">
      <c r="A441" s="35"/>
      <c r="B441" s="35"/>
      <c r="C441" s="35"/>
      <c r="D441" s="49"/>
      <c r="E441" s="35"/>
      <c r="F441" s="35"/>
      <c r="G441" s="49"/>
      <c r="H441" s="35"/>
      <c r="I441" s="35"/>
      <c r="J441" s="49"/>
      <c r="K441" s="35"/>
      <c r="L441" s="35"/>
      <c r="M441" s="35"/>
    </row>
    <row r="442" ht="19.5" customHeight="1" spans="1:13">
      <c r="A442" s="35"/>
      <c r="B442" s="35"/>
      <c r="C442" s="35"/>
      <c r="D442" s="49"/>
      <c r="E442" s="35"/>
      <c r="F442" s="35"/>
      <c r="G442" s="49"/>
      <c r="H442" s="35"/>
      <c r="I442" s="35"/>
      <c r="J442" s="49"/>
      <c r="K442" s="35"/>
      <c r="L442" s="35"/>
      <c r="M442" s="35"/>
    </row>
    <row r="443" ht="19.5" customHeight="1" spans="1:13">
      <c r="A443" s="35"/>
      <c r="B443" s="35"/>
      <c r="C443" s="35"/>
      <c r="D443" s="49"/>
      <c r="E443" s="35"/>
      <c r="F443" s="35"/>
      <c r="G443" s="49"/>
      <c r="H443" s="35"/>
      <c r="I443" s="35"/>
      <c r="J443" s="49"/>
      <c r="K443" s="35"/>
      <c r="L443" s="35"/>
      <c r="M443" s="35"/>
    </row>
    <row r="444" ht="19.5" customHeight="1" spans="1:13">
      <c r="A444" s="35"/>
      <c r="B444" s="35"/>
      <c r="C444" s="35"/>
      <c r="D444" s="49"/>
      <c r="E444" s="35"/>
      <c r="F444" s="35"/>
      <c r="G444" s="49"/>
      <c r="H444" s="35"/>
      <c r="I444" s="35"/>
      <c r="J444" s="49"/>
      <c r="K444" s="35"/>
      <c r="L444" s="35"/>
      <c r="M444" s="35"/>
    </row>
    <row r="445" ht="19.5" customHeight="1" spans="1:13">
      <c r="A445" s="35"/>
      <c r="B445" s="35"/>
      <c r="C445" s="35"/>
      <c r="D445" s="49"/>
      <c r="E445" s="35"/>
      <c r="F445" s="35"/>
      <c r="G445" s="49"/>
      <c r="H445" s="35"/>
      <c r="I445" s="35"/>
      <c r="J445" s="49"/>
      <c r="K445" s="35"/>
      <c r="L445" s="35"/>
      <c r="M445" s="35"/>
    </row>
    <row r="446" ht="19.5" customHeight="1" spans="1:13">
      <c r="A446" s="35"/>
      <c r="B446" s="35"/>
      <c r="C446" s="35"/>
      <c r="D446" s="49"/>
      <c r="E446" s="35"/>
      <c r="F446" s="35"/>
      <c r="G446" s="49"/>
      <c r="H446" s="35"/>
      <c r="I446" s="35"/>
      <c r="J446" s="49"/>
      <c r="K446" s="35"/>
      <c r="L446" s="35"/>
      <c r="M446" s="35"/>
    </row>
    <row r="447" ht="19.5" customHeight="1" spans="1:13">
      <c r="A447" s="35"/>
      <c r="B447" s="35"/>
      <c r="C447" s="35"/>
      <c r="D447" s="49"/>
      <c r="E447" s="35"/>
      <c r="F447" s="35"/>
      <c r="G447" s="49"/>
      <c r="H447" s="35"/>
      <c r="I447" s="35"/>
      <c r="J447" s="49"/>
      <c r="K447" s="35"/>
      <c r="L447" s="35"/>
      <c r="M447" s="35"/>
    </row>
    <row r="448" ht="19.5" customHeight="1" spans="1:13">
      <c r="A448" s="35"/>
      <c r="B448" s="35"/>
      <c r="C448" s="35"/>
      <c r="D448" s="49"/>
      <c r="E448" s="35"/>
      <c r="F448" s="35"/>
      <c r="G448" s="49"/>
      <c r="H448" s="35"/>
      <c r="I448" s="35"/>
      <c r="J448" s="49"/>
      <c r="K448" s="35"/>
      <c r="L448" s="35"/>
      <c r="M448" s="35"/>
    </row>
    <row r="449" ht="19.5" customHeight="1" spans="1:13">
      <c r="A449" s="35"/>
      <c r="B449" s="35"/>
      <c r="C449" s="35"/>
      <c r="D449" s="49"/>
      <c r="E449" s="35"/>
      <c r="F449" s="35"/>
      <c r="G449" s="49"/>
      <c r="H449" s="35"/>
      <c r="I449" s="35"/>
      <c r="J449" s="49"/>
      <c r="K449" s="35"/>
      <c r="L449" s="35"/>
      <c r="M449" s="35"/>
    </row>
    <row r="450" ht="19.5" customHeight="1" spans="1:13">
      <c r="A450" s="35"/>
      <c r="B450" s="35"/>
      <c r="C450" s="35"/>
      <c r="D450" s="49"/>
      <c r="E450" s="35"/>
      <c r="F450" s="35"/>
      <c r="G450" s="49"/>
      <c r="H450" s="35"/>
      <c r="I450" s="35"/>
      <c r="J450" s="49"/>
      <c r="K450" s="35"/>
      <c r="L450" s="35"/>
      <c r="M450" s="35"/>
    </row>
    <row r="451" ht="19.5" customHeight="1" spans="1:13">
      <c r="A451" s="35"/>
      <c r="B451" s="35"/>
      <c r="C451" s="35"/>
      <c r="D451" s="49"/>
      <c r="E451" s="35"/>
      <c r="F451" s="35"/>
      <c r="G451" s="49"/>
      <c r="H451" s="35"/>
      <c r="I451" s="35"/>
      <c r="J451" s="49"/>
      <c r="K451" s="35"/>
      <c r="L451" s="35"/>
      <c r="M451" s="35"/>
    </row>
    <row r="452" ht="19.5" customHeight="1" spans="1:13">
      <c r="A452" s="35"/>
      <c r="B452" s="35"/>
      <c r="C452" s="35"/>
      <c r="D452" s="49"/>
      <c r="E452" s="35"/>
      <c r="F452" s="35"/>
      <c r="G452" s="49"/>
      <c r="H452" s="35"/>
      <c r="I452" s="35"/>
      <c r="J452" s="49"/>
      <c r="K452" s="35"/>
      <c r="L452" s="35"/>
      <c r="M452" s="35"/>
    </row>
    <row r="453" ht="19.5" customHeight="1" spans="1:13">
      <c r="A453" s="35"/>
      <c r="B453" s="35"/>
      <c r="C453" s="35"/>
      <c r="D453" s="49"/>
      <c r="E453" s="35"/>
      <c r="F453" s="35"/>
      <c r="G453" s="49"/>
      <c r="H453" s="35"/>
      <c r="I453" s="35"/>
      <c r="J453" s="49"/>
      <c r="K453" s="35"/>
      <c r="L453" s="35"/>
      <c r="M453" s="35"/>
    </row>
    <row r="454" ht="19.5" customHeight="1" spans="1:13">
      <c r="A454" s="35"/>
      <c r="B454" s="35"/>
      <c r="C454" s="35"/>
      <c r="D454" s="49"/>
      <c r="E454" s="35"/>
      <c r="F454" s="35"/>
      <c r="G454" s="49"/>
      <c r="H454" s="35"/>
      <c r="I454" s="35"/>
      <c r="J454" s="49"/>
      <c r="K454" s="35"/>
      <c r="L454" s="35"/>
      <c r="M454" s="35"/>
    </row>
    <row r="455" ht="19.5" customHeight="1" spans="1:13">
      <c r="A455" s="35"/>
      <c r="B455" s="35"/>
      <c r="C455" s="35"/>
      <c r="D455" s="49"/>
      <c r="E455" s="35"/>
      <c r="F455" s="35"/>
      <c r="G455" s="49"/>
      <c r="H455" s="35"/>
      <c r="I455" s="35"/>
      <c r="J455" s="49"/>
      <c r="K455" s="35"/>
      <c r="L455" s="35"/>
      <c r="M455" s="35"/>
    </row>
    <row r="456" ht="19.5" customHeight="1" spans="1:13">
      <c r="A456" s="35"/>
      <c r="B456" s="35"/>
      <c r="C456" s="35"/>
      <c r="D456" s="49"/>
      <c r="E456" s="35"/>
      <c r="F456" s="35"/>
      <c r="G456" s="49"/>
      <c r="H456" s="35"/>
      <c r="I456" s="35"/>
      <c r="J456" s="49"/>
      <c r="K456" s="35"/>
      <c r="L456" s="35"/>
      <c r="M456" s="35"/>
    </row>
    <row r="457" ht="19.5" customHeight="1" spans="1:13">
      <c r="A457" s="35"/>
      <c r="B457" s="35"/>
      <c r="C457" s="35"/>
      <c r="D457" s="49"/>
      <c r="E457" s="35"/>
      <c r="F457" s="35"/>
      <c r="G457" s="49"/>
      <c r="H457" s="35"/>
      <c r="I457" s="35"/>
      <c r="J457" s="49"/>
      <c r="K457" s="35"/>
      <c r="L457" s="35"/>
      <c r="M457" s="35"/>
    </row>
    <row r="458" ht="19.5" customHeight="1" spans="1:13">
      <c r="A458" s="35"/>
      <c r="B458" s="35"/>
      <c r="C458" s="35"/>
      <c r="D458" s="49"/>
      <c r="E458" s="35"/>
      <c r="F458" s="35"/>
      <c r="G458" s="49"/>
      <c r="H458" s="35"/>
      <c r="I458" s="35"/>
      <c r="J458" s="49"/>
      <c r="K458" s="35"/>
      <c r="L458" s="35"/>
      <c r="M458" s="35"/>
    </row>
    <row r="459" ht="19.5" customHeight="1" spans="1:13">
      <c r="A459" s="35"/>
      <c r="B459" s="35"/>
      <c r="C459" s="35"/>
      <c r="D459" s="49"/>
      <c r="E459" s="35"/>
      <c r="F459" s="35"/>
      <c r="G459" s="49"/>
      <c r="H459" s="35"/>
      <c r="I459" s="35"/>
      <c r="J459" s="49"/>
      <c r="K459" s="35"/>
      <c r="L459" s="35"/>
      <c r="M459" s="35"/>
    </row>
    <row r="460" ht="19.5" customHeight="1" spans="1:13">
      <c r="A460" s="35"/>
      <c r="B460" s="35"/>
      <c r="C460" s="35"/>
      <c r="D460" s="49"/>
      <c r="E460" s="35"/>
      <c r="F460" s="35"/>
      <c r="G460" s="49"/>
      <c r="H460" s="35"/>
      <c r="I460" s="35"/>
      <c r="J460" s="49"/>
      <c r="K460" s="35"/>
      <c r="L460" s="35"/>
      <c r="M460" s="35"/>
    </row>
    <row r="461" ht="19.5" customHeight="1" spans="1:13">
      <c r="A461" s="35"/>
      <c r="B461" s="35"/>
      <c r="C461" s="35"/>
      <c r="D461" s="49"/>
      <c r="E461" s="35"/>
      <c r="F461" s="35"/>
      <c r="G461" s="49"/>
      <c r="H461" s="35"/>
      <c r="I461" s="35"/>
      <c r="J461" s="49"/>
      <c r="K461" s="35"/>
      <c r="L461" s="35"/>
      <c r="M461" s="35"/>
    </row>
    <row r="462" ht="19.5" customHeight="1" spans="1:13">
      <c r="A462" s="35"/>
      <c r="B462" s="35"/>
      <c r="C462" s="35"/>
      <c r="D462" s="49"/>
      <c r="E462" s="35"/>
      <c r="F462" s="35"/>
      <c r="G462" s="49"/>
      <c r="H462" s="35"/>
      <c r="I462" s="35"/>
      <c r="J462" s="49"/>
      <c r="K462" s="35"/>
      <c r="L462" s="35"/>
      <c r="M462" s="35"/>
    </row>
    <row r="463" ht="19.5" customHeight="1" spans="1:13">
      <c r="A463" s="35"/>
      <c r="B463" s="35"/>
      <c r="C463" s="35"/>
      <c r="D463" s="49"/>
      <c r="E463" s="35"/>
      <c r="F463" s="35"/>
      <c r="G463" s="49"/>
      <c r="H463" s="35"/>
      <c r="I463" s="35"/>
      <c r="J463" s="49"/>
      <c r="K463" s="35"/>
      <c r="L463" s="35"/>
      <c r="M463" s="35"/>
    </row>
    <row r="464" ht="19.5" customHeight="1" spans="1:13">
      <c r="A464" s="35"/>
      <c r="B464" s="35"/>
      <c r="C464" s="35"/>
      <c r="D464" s="49"/>
      <c r="E464" s="35"/>
      <c r="F464" s="35"/>
      <c r="G464" s="49"/>
      <c r="H464" s="35"/>
      <c r="I464" s="35"/>
      <c r="J464" s="49"/>
      <c r="K464" s="35"/>
      <c r="L464" s="35"/>
      <c r="M464" s="35"/>
    </row>
    <row r="465" ht="19.5" customHeight="1" spans="1:13">
      <c r="A465" s="35"/>
      <c r="B465" s="35"/>
      <c r="C465" s="35"/>
      <c r="D465" s="49"/>
      <c r="E465" s="35"/>
      <c r="F465" s="35"/>
      <c r="G465" s="49"/>
      <c r="H465" s="35"/>
      <c r="I465" s="35"/>
      <c r="J465" s="49"/>
      <c r="K465" s="35"/>
      <c r="L465" s="35"/>
      <c r="M465" s="35"/>
    </row>
    <row r="466" ht="19.5" customHeight="1" spans="1:13">
      <c r="A466" s="35"/>
      <c r="B466" s="35"/>
      <c r="C466" s="35"/>
      <c r="D466" s="49"/>
      <c r="E466" s="35"/>
      <c r="F466" s="35"/>
      <c r="G466" s="49"/>
      <c r="H466" s="35"/>
      <c r="I466" s="35"/>
      <c r="J466" s="49"/>
      <c r="K466" s="35"/>
      <c r="L466" s="35"/>
      <c r="M466" s="35"/>
    </row>
    <row r="467" ht="19.5" customHeight="1" spans="1:13">
      <c r="A467" s="35"/>
      <c r="B467" s="35"/>
      <c r="C467" s="35"/>
      <c r="D467" s="49"/>
      <c r="E467" s="35"/>
      <c r="F467" s="35"/>
      <c r="G467" s="49"/>
      <c r="H467" s="35"/>
      <c r="I467" s="35"/>
      <c r="J467" s="49"/>
      <c r="K467" s="35"/>
      <c r="L467" s="35"/>
      <c r="M467" s="35"/>
    </row>
    <row r="468" ht="19.5" customHeight="1" spans="1:13">
      <c r="A468" s="35"/>
      <c r="B468" s="35"/>
      <c r="C468" s="35"/>
      <c r="D468" s="49"/>
      <c r="E468" s="35"/>
      <c r="F468" s="35"/>
      <c r="G468" s="49"/>
      <c r="H468" s="35"/>
      <c r="I468" s="35"/>
      <c r="J468" s="49"/>
      <c r="K468" s="35"/>
      <c r="L468" s="35"/>
      <c r="M468" s="35"/>
    </row>
    <row r="469" ht="19.5" customHeight="1" spans="1:13">
      <c r="A469" s="35"/>
      <c r="B469" s="35"/>
      <c r="C469" s="35"/>
      <c r="D469" s="49"/>
      <c r="E469" s="35"/>
      <c r="F469" s="35"/>
      <c r="G469" s="49"/>
      <c r="H469" s="35"/>
      <c r="I469" s="35"/>
      <c r="J469" s="49"/>
      <c r="K469" s="35"/>
      <c r="L469" s="35"/>
      <c r="M469" s="35"/>
    </row>
    <row r="470" ht="19.5" customHeight="1" spans="1:13">
      <c r="A470" s="35"/>
      <c r="B470" s="35"/>
      <c r="C470" s="35"/>
      <c r="D470" s="49"/>
      <c r="E470" s="35"/>
      <c r="F470" s="35"/>
      <c r="G470" s="49"/>
      <c r="H470" s="35"/>
      <c r="I470" s="35"/>
      <c r="J470" s="49"/>
      <c r="K470" s="35"/>
      <c r="L470" s="35"/>
      <c r="M470" s="35"/>
    </row>
    <row r="471" ht="19.5" customHeight="1" spans="1:13">
      <c r="A471" s="35"/>
      <c r="B471" s="35"/>
      <c r="C471" s="35"/>
      <c r="D471" s="49"/>
      <c r="E471" s="35"/>
      <c r="F471" s="35"/>
      <c r="G471" s="49"/>
      <c r="H471" s="35"/>
      <c r="I471" s="35"/>
      <c r="J471" s="49"/>
      <c r="K471" s="35"/>
      <c r="L471" s="35"/>
      <c r="M471" s="35"/>
    </row>
    <row r="472" ht="19.5" customHeight="1" spans="1:13">
      <c r="A472" s="35"/>
      <c r="B472" s="35"/>
      <c r="C472" s="35"/>
      <c r="D472" s="49"/>
      <c r="E472" s="35"/>
      <c r="F472" s="35"/>
      <c r="G472" s="49"/>
      <c r="H472" s="35"/>
      <c r="I472" s="35"/>
      <c r="J472" s="49"/>
      <c r="K472" s="35"/>
      <c r="L472" s="35"/>
      <c r="M472" s="35"/>
    </row>
    <row r="473" ht="19.5" customHeight="1" spans="1:13">
      <c r="A473" s="35"/>
      <c r="B473" s="35"/>
      <c r="C473" s="35"/>
      <c r="D473" s="49"/>
      <c r="E473" s="35"/>
      <c r="F473" s="35"/>
      <c r="G473" s="49"/>
      <c r="H473" s="35"/>
      <c r="I473" s="35"/>
      <c r="J473" s="49"/>
      <c r="K473" s="35"/>
      <c r="L473" s="35"/>
      <c r="M473" s="35"/>
    </row>
    <row r="474" ht="19.5" customHeight="1" spans="1:13">
      <c r="A474" s="35"/>
      <c r="B474" s="35"/>
      <c r="C474" s="35"/>
      <c r="D474" s="49"/>
      <c r="E474" s="35"/>
      <c r="F474" s="35"/>
      <c r="G474" s="49"/>
      <c r="H474" s="35"/>
      <c r="I474" s="35"/>
      <c r="J474" s="49"/>
      <c r="K474" s="35"/>
      <c r="L474" s="35"/>
      <c r="M474" s="35"/>
    </row>
    <row r="475" ht="19.5" customHeight="1" spans="1:13">
      <c r="A475" s="35"/>
      <c r="B475" s="35"/>
      <c r="C475" s="35"/>
      <c r="D475" s="49"/>
      <c r="E475" s="35"/>
      <c r="F475" s="35"/>
      <c r="G475" s="49"/>
      <c r="H475" s="35"/>
      <c r="I475" s="35"/>
      <c r="J475" s="49"/>
      <c r="K475" s="35"/>
      <c r="L475" s="35"/>
      <c r="M475" s="35"/>
    </row>
    <row r="476" ht="19.5" customHeight="1" spans="1:13">
      <c r="A476" s="35"/>
      <c r="B476" s="35"/>
      <c r="C476" s="35"/>
      <c r="D476" s="49"/>
      <c r="E476" s="35"/>
      <c r="F476" s="35"/>
      <c r="G476" s="49"/>
      <c r="H476" s="35"/>
      <c r="I476" s="35"/>
      <c r="J476" s="49"/>
      <c r="K476" s="35"/>
      <c r="L476" s="35"/>
      <c r="M476" s="35"/>
    </row>
    <row r="477" ht="19.5" customHeight="1" spans="1:13">
      <c r="A477" s="35"/>
      <c r="B477" s="35"/>
      <c r="C477" s="35"/>
      <c r="D477" s="49"/>
      <c r="E477" s="35"/>
      <c r="F477" s="35"/>
      <c r="G477" s="49"/>
      <c r="H477" s="35"/>
      <c r="I477" s="35"/>
      <c r="J477" s="49"/>
      <c r="K477" s="35"/>
      <c r="L477" s="35"/>
      <c r="M477" s="35"/>
    </row>
    <row r="478" ht="19.5" customHeight="1" spans="1:13">
      <c r="A478" s="35"/>
      <c r="B478" s="35"/>
      <c r="C478" s="35"/>
      <c r="D478" s="49"/>
      <c r="E478" s="35"/>
      <c r="F478" s="35"/>
      <c r="G478" s="49"/>
      <c r="H478" s="35"/>
      <c r="I478" s="35"/>
      <c r="J478" s="49"/>
      <c r="K478" s="35"/>
      <c r="L478" s="35"/>
      <c r="M478" s="35"/>
    </row>
    <row r="479" ht="19.5" customHeight="1" spans="1:13">
      <c r="A479" s="35"/>
      <c r="B479" s="35"/>
      <c r="C479" s="35"/>
      <c r="D479" s="49"/>
      <c r="E479" s="35"/>
      <c r="F479" s="35"/>
      <c r="G479" s="49"/>
      <c r="H479" s="35"/>
      <c r="I479" s="35"/>
      <c r="J479" s="49"/>
      <c r="K479" s="35"/>
      <c r="L479" s="35"/>
      <c r="M479" s="35"/>
    </row>
    <row r="480" ht="19.5" customHeight="1" spans="1:13">
      <c r="A480" s="35"/>
      <c r="B480" s="35"/>
      <c r="C480" s="35"/>
      <c r="D480" s="49"/>
      <c r="E480" s="35"/>
      <c r="F480" s="35"/>
      <c r="G480" s="49"/>
      <c r="H480" s="35"/>
      <c r="I480" s="35"/>
      <c r="J480" s="49"/>
      <c r="K480" s="35"/>
      <c r="L480" s="35"/>
      <c r="M480" s="35"/>
    </row>
    <row r="481" ht="19.5" customHeight="1" spans="1:13">
      <c r="A481" s="35"/>
      <c r="B481" s="35"/>
      <c r="C481" s="35"/>
      <c r="D481" s="49"/>
      <c r="E481" s="35"/>
      <c r="F481" s="35"/>
      <c r="G481" s="49"/>
      <c r="H481" s="35"/>
      <c r="I481" s="35"/>
      <c r="J481" s="49"/>
      <c r="K481" s="35"/>
      <c r="L481" s="35"/>
      <c r="M481" s="35"/>
    </row>
    <row r="482" ht="19.5" customHeight="1" spans="1:13">
      <c r="A482" s="35"/>
      <c r="B482" s="35"/>
      <c r="C482" s="35"/>
      <c r="D482" s="49"/>
      <c r="E482" s="35"/>
      <c r="F482" s="35"/>
      <c r="G482" s="49"/>
      <c r="H482" s="35"/>
      <c r="I482" s="35"/>
      <c r="J482" s="49"/>
      <c r="K482" s="35"/>
      <c r="L482" s="35"/>
      <c r="M482" s="35"/>
    </row>
    <row r="483" ht="19.5" customHeight="1" spans="1:13">
      <c r="A483" s="35"/>
      <c r="B483" s="35"/>
      <c r="C483" s="35"/>
      <c r="D483" s="49"/>
      <c r="E483" s="35"/>
      <c r="F483" s="35"/>
      <c r="G483" s="49"/>
      <c r="H483" s="35"/>
      <c r="I483" s="35"/>
      <c r="J483" s="49"/>
      <c r="K483" s="35"/>
      <c r="L483" s="35"/>
      <c r="M483" s="35"/>
    </row>
    <row r="484" ht="19.5" customHeight="1" spans="1:13">
      <c r="A484" s="35"/>
      <c r="B484" s="35"/>
      <c r="C484" s="35"/>
      <c r="D484" s="49"/>
      <c r="E484" s="35"/>
      <c r="F484" s="35"/>
      <c r="G484" s="49"/>
      <c r="H484" s="35"/>
      <c r="I484" s="35"/>
      <c r="J484" s="49"/>
      <c r="K484" s="35"/>
      <c r="L484" s="35"/>
      <c r="M484" s="35"/>
    </row>
    <row r="485" ht="19.5" customHeight="1" spans="1:13">
      <c r="A485" s="35"/>
      <c r="B485" s="35"/>
      <c r="C485" s="35"/>
      <c r="D485" s="49"/>
      <c r="E485" s="35"/>
      <c r="F485" s="35"/>
      <c r="G485" s="49"/>
      <c r="H485" s="35"/>
      <c r="I485" s="35"/>
      <c r="J485" s="49"/>
      <c r="K485" s="35"/>
      <c r="L485" s="35"/>
      <c r="M485" s="35"/>
    </row>
    <row r="486" ht="19.5" customHeight="1" spans="1:13">
      <c r="A486" s="35"/>
      <c r="B486" s="35"/>
      <c r="C486" s="35"/>
      <c r="D486" s="49"/>
      <c r="E486" s="35"/>
      <c r="F486" s="35"/>
      <c r="G486" s="49"/>
      <c r="H486" s="35"/>
      <c r="I486" s="35"/>
      <c r="J486" s="49"/>
      <c r="K486" s="35"/>
      <c r="L486" s="35"/>
      <c r="M486" s="35"/>
    </row>
    <row r="487" ht="19.5" customHeight="1" spans="1:13">
      <c r="A487" s="35"/>
      <c r="B487" s="35"/>
      <c r="C487" s="35"/>
      <c r="D487" s="49"/>
      <c r="E487" s="35"/>
      <c r="F487" s="35"/>
      <c r="G487" s="49"/>
      <c r="H487" s="35"/>
      <c r="I487" s="35"/>
      <c r="J487" s="49"/>
      <c r="K487" s="35"/>
      <c r="L487" s="35"/>
      <c r="M487" s="35"/>
    </row>
    <row r="488" ht="19.5" customHeight="1" spans="1:13">
      <c r="A488" s="35"/>
      <c r="B488" s="35"/>
      <c r="C488" s="35"/>
      <c r="D488" s="49"/>
      <c r="E488" s="35"/>
      <c r="F488" s="35"/>
      <c r="G488" s="49"/>
      <c r="H488" s="35"/>
      <c r="I488" s="35"/>
      <c r="J488" s="49"/>
      <c r="K488" s="35"/>
      <c r="L488" s="35"/>
      <c r="M488" s="35"/>
    </row>
    <row r="489" ht="19.5" customHeight="1" spans="1:13">
      <c r="A489" s="35"/>
      <c r="B489" s="35"/>
      <c r="C489" s="35"/>
      <c r="D489" s="49"/>
      <c r="E489" s="35"/>
      <c r="F489" s="35"/>
      <c r="G489" s="49"/>
      <c r="H489" s="35"/>
      <c r="I489" s="35"/>
      <c r="J489" s="49"/>
      <c r="K489" s="35"/>
      <c r="L489" s="35"/>
      <c r="M489" s="35"/>
    </row>
    <row r="490" ht="19.5" customHeight="1" spans="1:13">
      <c r="A490" s="35"/>
      <c r="B490" s="35"/>
      <c r="C490" s="35"/>
      <c r="D490" s="49"/>
      <c r="E490" s="35"/>
      <c r="F490" s="35"/>
      <c r="G490" s="49"/>
      <c r="H490" s="35"/>
      <c r="I490" s="35"/>
      <c r="J490" s="49"/>
      <c r="K490" s="35"/>
      <c r="L490" s="35"/>
      <c r="M490" s="35"/>
    </row>
    <row r="491" ht="19.5" customHeight="1" spans="1:13">
      <c r="A491" s="35"/>
      <c r="B491" s="35"/>
      <c r="C491" s="35"/>
      <c r="D491" s="49"/>
      <c r="E491" s="35"/>
      <c r="F491" s="35"/>
      <c r="G491" s="49"/>
      <c r="H491" s="35"/>
      <c r="I491" s="35"/>
      <c r="J491" s="49"/>
      <c r="K491" s="35"/>
      <c r="L491" s="35"/>
      <c r="M491" s="35"/>
    </row>
    <row r="492" ht="19.5" customHeight="1" spans="1:13">
      <c r="A492" s="35"/>
      <c r="B492" s="35"/>
      <c r="C492" s="35"/>
      <c r="D492" s="49"/>
      <c r="E492" s="35"/>
      <c r="F492" s="35"/>
      <c r="G492" s="49"/>
      <c r="H492" s="35"/>
      <c r="I492" s="35"/>
      <c r="J492" s="49"/>
      <c r="K492" s="35"/>
      <c r="L492" s="35"/>
      <c r="M492" s="35"/>
    </row>
    <row r="493" ht="19.5" customHeight="1" spans="1:13">
      <c r="A493" s="35"/>
      <c r="B493" s="35"/>
      <c r="C493" s="35"/>
      <c r="D493" s="49"/>
      <c r="E493" s="35"/>
      <c r="F493" s="35"/>
      <c r="G493" s="49"/>
      <c r="H493" s="35"/>
      <c r="I493" s="35"/>
      <c r="J493" s="49"/>
      <c r="K493" s="35"/>
      <c r="L493" s="35"/>
      <c r="M493" s="35"/>
    </row>
    <row r="494" ht="19.5" customHeight="1" spans="1:13">
      <c r="A494" s="35"/>
      <c r="B494" s="35"/>
      <c r="C494" s="35"/>
      <c r="D494" s="49"/>
      <c r="E494" s="35"/>
      <c r="F494" s="35"/>
      <c r="G494" s="49"/>
      <c r="H494" s="35"/>
      <c r="I494" s="35"/>
      <c r="J494" s="49"/>
      <c r="K494" s="35"/>
      <c r="L494" s="35"/>
      <c r="M494" s="35"/>
    </row>
    <row r="495" ht="19.5" customHeight="1" spans="1:13">
      <c r="A495" s="35"/>
      <c r="B495" s="35"/>
      <c r="C495" s="35"/>
      <c r="D495" s="49"/>
      <c r="E495" s="35"/>
      <c r="F495" s="35"/>
      <c r="G495" s="49"/>
      <c r="H495" s="35"/>
      <c r="I495" s="35"/>
      <c r="J495" s="49"/>
      <c r="K495" s="35"/>
      <c r="L495" s="35"/>
      <c r="M495" s="35"/>
    </row>
    <row r="496" ht="19.5" customHeight="1" spans="1:13">
      <c r="A496" s="35"/>
      <c r="B496" s="35"/>
      <c r="C496" s="35"/>
      <c r="D496" s="49"/>
      <c r="E496" s="35"/>
      <c r="F496" s="35"/>
      <c r="G496" s="49"/>
      <c r="H496" s="35"/>
      <c r="I496" s="35"/>
      <c r="J496" s="49"/>
      <c r="K496" s="35"/>
      <c r="L496" s="35"/>
      <c r="M496" s="35"/>
    </row>
    <row r="497" ht="19.5" customHeight="1" spans="1:13">
      <c r="A497" s="35"/>
      <c r="B497" s="35"/>
      <c r="C497" s="35"/>
      <c r="D497" s="49"/>
      <c r="E497" s="35"/>
      <c r="F497" s="35"/>
      <c r="G497" s="49"/>
      <c r="H497" s="35"/>
      <c r="I497" s="35"/>
      <c r="J497" s="49"/>
      <c r="K497" s="35"/>
      <c r="L497" s="35"/>
      <c r="M497" s="35"/>
    </row>
    <row r="498" ht="19.5" customHeight="1" spans="1:13">
      <c r="A498" s="35"/>
      <c r="B498" s="35"/>
      <c r="C498" s="35"/>
      <c r="D498" s="49"/>
      <c r="E498" s="35"/>
      <c r="F498" s="35"/>
      <c r="G498" s="49"/>
      <c r="H498" s="35"/>
      <c r="I498" s="35"/>
      <c r="J498" s="49"/>
      <c r="K498" s="35"/>
      <c r="L498" s="35"/>
      <c r="M498" s="35"/>
    </row>
    <row r="499" ht="19.5" customHeight="1" spans="1:13">
      <c r="A499" s="35"/>
      <c r="B499" s="35"/>
      <c r="C499" s="35"/>
      <c r="D499" s="49"/>
      <c r="E499" s="35"/>
      <c r="F499" s="35"/>
      <c r="G499" s="49"/>
      <c r="H499" s="35"/>
      <c r="I499" s="35"/>
      <c r="J499" s="49"/>
      <c r="K499" s="35"/>
      <c r="L499" s="35"/>
      <c r="M499" s="35"/>
    </row>
    <row r="500" ht="19.5" customHeight="1" spans="1:13">
      <c r="A500" s="35"/>
      <c r="B500" s="35"/>
      <c r="C500" s="35"/>
      <c r="D500" s="49"/>
      <c r="E500" s="35"/>
      <c r="F500" s="35"/>
      <c r="G500" s="49"/>
      <c r="H500" s="35"/>
      <c r="I500" s="35"/>
      <c r="J500" s="49"/>
      <c r="K500" s="35"/>
      <c r="L500" s="35"/>
      <c r="M500" s="35"/>
    </row>
    <row r="501" ht="19.5" customHeight="1" spans="1:13">
      <c r="A501" s="35"/>
      <c r="B501" s="35"/>
      <c r="C501" s="35"/>
      <c r="D501" s="49"/>
      <c r="E501" s="35"/>
      <c r="F501" s="35"/>
      <c r="G501" s="49"/>
      <c r="H501" s="35"/>
      <c r="I501" s="35"/>
      <c r="J501" s="49"/>
      <c r="K501" s="35"/>
      <c r="L501" s="35"/>
      <c r="M501" s="35"/>
    </row>
    <row r="502" ht="19.5" customHeight="1" spans="1:13">
      <c r="A502" s="35"/>
      <c r="B502" s="35"/>
      <c r="C502" s="35"/>
      <c r="D502" s="49"/>
      <c r="E502" s="35"/>
      <c r="F502" s="35"/>
      <c r="G502" s="49"/>
      <c r="H502" s="35"/>
      <c r="I502" s="35"/>
      <c r="J502" s="49"/>
      <c r="K502" s="35"/>
      <c r="L502" s="35"/>
      <c r="M502" s="35"/>
    </row>
    <row r="503" ht="19.5" customHeight="1" spans="1:13">
      <c r="A503" s="35"/>
      <c r="B503" s="35"/>
      <c r="C503" s="35"/>
      <c r="D503" s="49"/>
      <c r="E503" s="35"/>
      <c r="F503" s="35"/>
      <c r="G503" s="49"/>
      <c r="H503" s="35"/>
      <c r="I503" s="35"/>
      <c r="J503" s="49"/>
      <c r="K503" s="35"/>
      <c r="L503" s="35"/>
      <c r="M503" s="35"/>
    </row>
    <row r="504" ht="19.5" customHeight="1" spans="1:13">
      <c r="A504" s="35"/>
      <c r="B504" s="35"/>
      <c r="C504" s="35"/>
      <c r="D504" s="49"/>
      <c r="E504" s="35"/>
      <c r="F504" s="35"/>
      <c r="G504" s="49"/>
      <c r="H504" s="35"/>
      <c r="I504" s="35"/>
      <c r="J504" s="49"/>
      <c r="K504" s="35"/>
      <c r="L504" s="35"/>
      <c r="M504" s="35"/>
    </row>
    <row r="505" ht="19.5" customHeight="1" spans="1:13">
      <c r="A505" s="35"/>
      <c r="B505" s="35"/>
      <c r="C505" s="35"/>
      <c r="D505" s="49"/>
      <c r="E505" s="35"/>
      <c r="F505" s="35"/>
      <c r="G505" s="49"/>
      <c r="H505" s="35"/>
      <c r="I505" s="35"/>
      <c r="J505" s="49"/>
      <c r="K505" s="35"/>
      <c r="L505" s="35"/>
      <c r="M505" s="35"/>
    </row>
    <row r="506" ht="19.5" customHeight="1" spans="1:13">
      <c r="A506" s="35"/>
      <c r="B506" s="35"/>
      <c r="C506" s="35"/>
      <c r="D506" s="49"/>
      <c r="E506" s="35"/>
      <c r="F506" s="35"/>
      <c r="G506" s="49"/>
      <c r="H506" s="35"/>
      <c r="I506" s="35"/>
      <c r="J506" s="49"/>
      <c r="K506" s="35"/>
      <c r="L506" s="35"/>
      <c r="M506" s="35"/>
    </row>
    <row r="507" ht="19.5" customHeight="1" spans="1:13">
      <c r="A507" s="35"/>
      <c r="B507" s="35"/>
      <c r="C507" s="35"/>
      <c r="D507" s="49"/>
      <c r="E507" s="35"/>
      <c r="F507" s="35"/>
      <c r="G507" s="49"/>
      <c r="H507" s="35"/>
      <c r="I507" s="35"/>
      <c r="J507" s="49"/>
      <c r="K507" s="35"/>
      <c r="L507" s="35"/>
      <c r="M507" s="35"/>
    </row>
    <row r="508" ht="19.5" customHeight="1" spans="1:13">
      <c r="A508" s="35"/>
      <c r="B508" s="35"/>
      <c r="C508" s="35"/>
      <c r="D508" s="49"/>
      <c r="E508" s="35"/>
      <c r="F508" s="35"/>
      <c r="G508" s="49"/>
      <c r="H508" s="35"/>
      <c r="I508" s="35"/>
      <c r="J508" s="49"/>
      <c r="K508" s="35"/>
      <c r="L508" s="35"/>
      <c r="M508" s="35"/>
    </row>
    <row r="509" ht="19.5" customHeight="1" spans="1:13">
      <c r="A509" s="35"/>
      <c r="B509" s="35"/>
      <c r="C509" s="35"/>
      <c r="D509" s="49"/>
      <c r="E509" s="35"/>
      <c r="F509" s="35"/>
      <c r="G509" s="49"/>
      <c r="H509" s="35"/>
      <c r="I509" s="35"/>
      <c r="J509" s="49"/>
      <c r="K509" s="35"/>
      <c r="L509" s="35"/>
      <c r="M509" s="35"/>
    </row>
    <row r="510" ht="19.5" customHeight="1" spans="1:13">
      <c r="A510" s="35"/>
      <c r="B510" s="35"/>
      <c r="C510" s="35"/>
      <c r="D510" s="49"/>
      <c r="E510" s="35"/>
      <c r="F510" s="35"/>
      <c r="G510" s="49"/>
      <c r="H510" s="35"/>
      <c r="I510" s="35"/>
      <c r="J510" s="49"/>
      <c r="K510" s="35"/>
      <c r="L510" s="35"/>
      <c r="M510" s="35"/>
    </row>
    <row r="511" ht="19.5" customHeight="1" spans="1:13">
      <c r="A511" s="35"/>
      <c r="B511" s="35"/>
      <c r="C511" s="35"/>
      <c r="D511" s="49"/>
      <c r="E511" s="35"/>
      <c r="F511" s="35"/>
      <c r="G511" s="49"/>
      <c r="H511" s="35"/>
      <c r="I511" s="35"/>
      <c r="J511" s="49"/>
      <c r="K511" s="35"/>
      <c r="L511" s="35"/>
      <c r="M511" s="35"/>
    </row>
    <row r="512" ht="19.5" customHeight="1" spans="1:13">
      <c r="A512" s="35"/>
      <c r="B512" s="35"/>
      <c r="C512" s="35"/>
      <c r="D512" s="49"/>
      <c r="E512" s="35"/>
      <c r="F512" s="35"/>
      <c r="G512" s="49"/>
      <c r="H512" s="35"/>
      <c r="I512" s="35"/>
      <c r="J512" s="49"/>
      <c r="K512" s="35"/>
      <c r="L512" s="35"/>
      <c r="M512" s="35"/>
    </row>
    <row r="513" ht="19.5" customHeight="1" spans="1:13">
      <c r="A513" s="35"/>
      <c r="B513" s="35"/>
      <c r="C513" s="35"/>
      <c r="D513" s="49"/>
      <c r="E513" s="35"/>
      <c r="F513" s="35"/>
      <c r="G513" s="49"/>
      <c r="H513" s="35"/>
      <c r="I513" s="35"/>
      <c r="J513" s="49"/>
      <c r="K513" s="35"/>
      <c r="L513" s="35"/>
      <c r="M513" s="35"/>
    </row>
    <row r="514" ht="19.5" customHeight="1" spans="1:13">
      <c r="A514" s="35"/>
      <c r="B514" s="35"/>
      <c r="C514" s="35"/>
      <c r="D514" s="49"/>
      <c r="E514" s="35"/>
      <c r="F514" s="35"/>
      <c r="G514" s="49"/>
      <c r="H514" s="35"/>
      <c r="I514" s="35"/>
      <c r="J514" s="49"/>
      <c r="K514" s="35"/>
      <c r="L514" s="35"/>
      <c r="M514" s="35"/>
    </row>
    <row r="515" ht="19.5" customHeight="1" spans="1:13">
      <c r="A515" s="35"/>
      <c r="B515" s="35"/>
      <c r="C515" s="35"/>
      <c r="D515" s="49"/>
      <c r="E515" s="35"/>
      <c r="F515" s="35"/>
      <c r="G515" s="49"/>
      <c r="H515" s="35"/>
      <c r="I515" s="35"/>
      <c r="J515" s="49"/>
      <c r="K515" s="35"/>
      <c r="L515" s="35"/>
      <c r="M515" s="35"/>
    </row>
    <row r="516" ht="19.5" customHeight="1" spans="1:13">
      <c r="A516" s="35"/>
      <c r="B516" s="35"/>
      <c r="C516" s="35"/>
      <c r="D516" s="49"/>
      <c r="E516" s="35"/>
      <c r="F516" s="35"/>
      <c r="G516" s="49"/>
      <c r="H516" s="35"/>
      <c r="I516" s="35"/>
      <c r="J516" s="49"/>
      <c r="K516" s="35"/>
      <c r="L516" s="35"/>
      <c r="M516" s="35"/>
    </row>
    <row r="517" ht="19.5" customHeight="1" spans="1:13">
      <c r="A517" s="35"/>
      <c r="B517" s="35"/>
      <c r="C517" s="35"/>
      <c r="D517" s="49"/>
      <c r="E517" s="35"/>
      <c r="F517" s="35"/>
      <c r="G517" s="49"/>
      <c r="H517" s="35"/>
      <c r="I517" s="35"/>
      <c r="J517" s="49"/>
      <c r="K517" s="35"/>
      <c r="L517" s="35"/>
      <c r="M517" s="35"/>
    </row>
    <row r="518" ht="19.5" customHeight="1" spans="1:13">
      <c r="A518" s="35"/>
      <c r="B518" s="35"/>
      <c r="C518" s="35"/>
      <c r="D518" s="49"/>
      <c r="E518" s="35"/>
      <c r="F518" s="35"/>
      <c r="G518" s="49"/>
      <c r="H518" s="35"/>
      <c r="I518" s="35"/>
      <c r="J518" s="49"/>
      <c r="K518" s="35"/>
      <c r="L518" s="35"/>
      <c r="M518" s="35"/>
    </row>
    <row r="519" ht="19.5" customHeight="1" spans="1:13">
      <c r="A519" s="35"/>
      <c r="B519" s="35"/>
      <c r="C519" s="35"/>
      <c r="D519" s="49"/>
      <c r="E519" s="35"/>
      <c r="F519" s="35"/>
      <c r="G519" s="49"/>
      <c r="H519" s="35"/>
      <c r="I519" s="35"/>
      <c r="J519" s="49"/>
      <c r="K519" s="35"/>
      <c r="L519" s="35"/>
      <c r="M519" s="35"/>
    </row>
    <row r="520" ht="19.5" customHeight="1" spans="1:13">
      <c r="A520" s="35"/>
      <c r="B520" s="35"/>
      <c r="C520" s="35"/>
      <c r="D520" s="49"/>
      <c r="E520" s="35"/>
      <c r="F520" s="35"/>
      <c r="G520" s="49"/>
      <c r="H520" s="35"/>
      <c r="I520" s="35"/>
      <c r="J520" s="49"/>
      <c r="K520" s="35"/>
      <c r="L520" s="35"/>
      <c r="M520" s="35"/>
    </row>
    <row r="521" ht="19.5" customHeight="1" spans="1:13">
      <c r="A521" s="35"/>
      <c r="B521" s="35"/>
      <c r="C521" s="35"/>
      <c r="D521" s="49"/>
      <c r="E521" s="35"/>
      <c r="F521" s="35"/>
      <c r="G521" s="49"/>
      <c r="H521" s="35"/>
      <c r="I521" s="35"/>
      <c r="J521" s="49"/>
      <c r="K521" s="35"/>
      <c r="L521" s="35"/>
      <c r="M521" s="35"/>
    </row>
    <row r="522" ht="19.5" customHeight="1" spans="1:13">
      <c r="A522" s="35"/>
      <c r="B522" s="35"/>
      <c r="C522" s="35"/>
      <c r="D522" s="49"/>
      <c r="E522" s="35"/>
      <c r="F522" s="35"/>
      <c r="G522" s="49"/>
      <c r="H522" s="35"/>
      <c r="I522" s="35"/>
      <c r="J522" s="49"/>
      <c r="K522" s="35"/>
      <c r="L522" s="35"/>
      <c r="M522" s="35"/>
    </row>
    <row r="523" ht="19.5" customHeight="1" spans="1:13">
      <c r="A523" s="35"/>
      <c r="B523" s="35"/>
      <c r="C523" s="35"/>
      <c r="D523" s="49"/>
      <c r="E523" s="35"/>
      <c r="F523" s="35"/>
      <c r="G523" s="49"/>
      <c r="H523" s="35"/>
      <c r="I523" s="35"/>
      <c r="J523" s="49"/>
      <c r="K523" s="35"/>
      <c r="L523" s="35"/>
      <c r="M523" s="35"/>
    </row>
    <row r="524" ht="19.5" customHeight="1" spans="1:13">
      <c r="A524" s="35"/>
      <c r="B524" s="35"/>
      <c r="C524" s="35"/>
      <c r="D524" s="49"/>
      <c r="E524" s="35"/>
      <c r="F524" s="35"/>
      <c r="G524" s="49"/>
      <c r="H524" s="35"/>
      <c r="I524" s="35"/>
      <c r="J524" s="49"/>
      <c r="K524" s="35"/>
      <c r="L524" s="35"/>
      <c r="M524" s="35"/>
    </row>
    <row r="525" ht="19.5" customHeight="1" spans="1:13">
      <c r="A525" s="35"/>
      <c r="B525" s="35"/>
      <c r="C525" s="35"/>
      <c r="D525" s="49"/>
      <c r="E525" s="35"/>
      <c r="F525" s="35"/>
      <c r="G525" s="49"/>
      <c r="H525" s="35"/>
      <c r="I525" s="35"/>
      <c r="J525" s="49"/>
      <c r="K525" s="35"/>
      <c r="L525" s="35"/>
      <c r="M525" s="35"/>
    </row>
    <row r="526" ht="19.5" customHeight="1" spans="1:13">
      <c r="A526" s="35"/>
      <c r="B526" s="35"/>
      <c r="C526" s="35"/>
      <c r="D526" s="49"/>
      <c r="E526" s="35"/>
      <c r="F526" s="35"/>
      <c r="G526" s="49"/>
      <c r="H526" s="35"/>
      <c r="I526" s="35"/>
      <c r="J526" s="49"/>
      <c r="K526" s="35"/>
      <c r="L526" s="35"/>
      <c r="M526" s="35"/>
    </row>
    <row r="527" ht="19.5" customHeight="1" spans="1:13">
      <c r="A527" s="35"/>
      <c r="B527" s="35"/>
      <c r="C527" s="35"/>
      <c r="D527" s="49"/>
      <c r="E527" s="35"/>
      <c r="F527" s="35"/>
      <c r="G527" s="49"/>
      <c r="H527" s="35"/>
      <c r="I527" s="35"/>
      <c r="J527" s="49"/>
      <c r="K527" s="35"/>
      <c r="L527" s="35"/>
      <c r="M527" s="35"/>
    </row>
    <row r="528" ht="19.5" customHeight="1" spans="1:13">
      <c r="A528" s="35"/>
      <c r="B528" s="35"/>
      <c r="C528" s="35"/>
      <c r="D528" s="49"/>
      <c r="E528" s="35"/>
      <c r="F528" s="35"/>
      <c r="G528" s="49"/>
      <c r="H528" s="35"/>
      <c r="I528" s="35"/>
      <c r="J528" s="49"/>
      <c r="K528" s="35"/>
      <c r="L528" s="35"/>
      <c r="M528" s="35"/>
    </row>
    <row r="529" ht="19.5" customHeight="1" spans="1:13">
      <c r="A529" s="35"/>
      <c r="B529" s="35"/>
      <c r="C529" s="35"/>
      <c r="D529" s="49"/>
      <c r="E529" s="35"/>
      <c r="F529" s="35"/>
      <c r="G529" s="49"/>
      <c r="H529" s="35"/>
      <c r="I529" s="35"/>
      <c r="J529" s="49"/>
      <c r="K529" s="35"/>
      <c r="L529" s="35"/>
      <c r="M529" s="35"/>
    </row>
    <row r="530" ht="19.5" customHeight="1" spans="1:13">
      <c r="A530" s="35"/>
      <c r="B530" s="35"/>
      <c r="C530" s="35"/>
      <c r="D530" s="49"/>
      <c r="E530" s="35"/>
      <c r="F530" s="35"/>
      <c r="G530" s="49"/>
      <c r="H530" s="35"/>
      <c r="I530" s="35"/>
      <c r="J530" s="49"/>
      <c r="K530" s="35"/>
      <c r="L530" s="35"/>
      <c r="M530" s="35"/>
    </row>
    <row r="531" ht="19.5" customHeight="1" spans="1:13">
      <c r="A531" s="35"/>
      <c r="B531" s="35"/>
      <c r="C531" s="35"/>
      <c r="D531" s="49"/>
      <c r="E531" s="35"/>
      <c r="F531" s="35"/>
      <c r="G531" s="49"/>
      <c r="H531" s="35"/>
      <c r="I531" s="35"/>
      <c r="J531" s="49"/>
      <c r="K531" s="35"/>
      <c r="L531" s="35"/>
      <c r="M531" s="35"/>
    </row>
    <row r="532" ht="19.5" customHeight="1" spans="1:13">
      <c r="A532" s="35"/>
      <c r="B532" s="35"/>
      <c r="C532" s="35"/>
      <c r="D532" s="49"/>
      <c r="E532" s="35"/>
      <c r="F532" s="35"/>
      <c r="G532" s="49"/>
      <c r="H532" s="35"/>
      <c r="I532" s="35"/>
      <c r="J532" s="49"/>
      <c r="K532" s="35"/>
      <c r="L532" s="35"/>
      <c r="M532" s="35"/>
    </row>
    <row r="533" ht="19.5" customHeight="1" spans="1:13">
      <c r="A533" s="35"/>
      <c r="B533" s="35"/>
      <c r="C533" s="35"/>
      <c r="D533" s="49"/>
      <c r="E533" s="35"/>
      <c r="F533" s="35"/>
      <c r="G533" s="49"/>
      <c r="H533" s="35"/>
      <c r="I533" s="35"/>
      <c r="J533" s="49"/>
      <c r="K533" s="35"/>
      <c r="L533" s="35"/>
      <c r="M533" s="35"/>
    </row>
    <row r="534" ht="19.5" customHeight="1" spans="1:13">
      <c r="A534" s="35"/>
      <c r="B534" s="35"/>
      <c r="C534" s="35"/>
      <c r="D534" s="49"/>
      <c r="E534" s="35"/>
      <c r="F534" s="35"/>
      <c r="G534" s="49"/>
      <c r="H534" s="35"/>
      <c r="I534" s="35"/>
      <c r="J534" s="49"/>
      <c r="K534" s="35"/>
      <c r="L534" s="35"/>
      <c r="M534" s="35"/>
    </row>
    <row r="535" ht="19.5" customHeight="1" spans="1:13">
      <c r="A535" s="35"/>
      <c r="B535" s="35"/>
      <c r="C535" s="35"/>
      <c r="D535" s="49"/>
      <c r="E535" s="35"/>
      <c r="F535" s="35"/>
      <c r="G535" s="49"/>
      <c r="H535" s="35"/>
      <c r="I535" s="35"/>
      <c r="J535" s="49"/>
      <c r="K535" s="35"/>
      <c r="L535" s="35"/>
      <c r="M535" s="35"/>
    </row>
    <row r="536" ht="19.5" customHeight="1" spans="1:13">
      <c r="A536" s="35"/>
      <c r="B536" s="35"/>
      <c r="C536" s="35"/>
      <c r="D536" s="49"/>
      <c r="E536" s="35"/>
      <c r="F536" s="35"/>
      <c r="G536" s="49"/>
      <c r="H536" s="35"/>
      <c r="I536" s="35"/>
      <c r="J536" s="49"/>
      <c r="K536" s="35"/>
      <c r="L536" s="35"/>
      <c r="M536" s="35"/>
    </row>
    <row r="537" ht="19.5" customHeight="1" spans="1:13">
      <c r="A537" s="35"/>
      <c r="B537" s="35"/>
      <c r="C537" s="35"/>
      <c r="D537" s="49"/>
      <c r="E537" s="35"/>
      <c r="F537" s="35"/>
      <c r="G537" s="49"/>
      <c r="H537" s="35"/>
      <c r="I537" s="35"/>
      <c r="J537" s="49"/>
      <c r="K537" s="35"/>
      <c r="L537" s="35"/>
      <c r="M537" s="35"/>
    </row>
    <row r="538" ht="19.5" customHeight="1" spans="1:13">
      <c r="A538" s="35"/>
      <c r="B538" s="35"/>
      <c r="C538" s="35"/>
      <c r="D538" s="49"/>
      <c r="E538" s="35"/>
      <c r="F538" s="35"/>
      <c r="G538" s="49"/>
      <c r="H538" s="35"/>
      <c r="I538" s="35"/>
      <c r="J538" s="49"/>
      <c r="K538" s="35"/>
      <c r="L538" s="35"/>
      <c r="M538" s="35"/>
    </row>
    <row r="539" ht="19.5" customHeight="1" spans="1:13">
      <c r="A539" s="35"/>
      <c r="B539" s="35"/>
      <c r="C539" s="35"/>
      <c r="D539" s="49"/>
      <c r="E539" s="35"/>
      <c r="F539" s="35"/>
      <c r="G539" s="49"/>
      <c r="H539" s="35"/>
      <c r="I539" s="35"/>
      <c r="J539" s="49"/>
      <c r="K539" s="35"/>
      <c r="L539" s="35"/>
      <c r="M539" s="35"/>
    </row>
    <row r="540" ht="19.5" customHeight="1" spans="1:13">
      <c r="A540" s="35"/>
      <c r="B540" s="35"/>
      <c r="C540" s="35"/>
      <c r="D540" s="49"/>
      <c r="E540" s="35"/>
      <c r="F540" s="35"/>
      <c r="G540" s="49"/>
      <c r="H540" s="35"/>
      <c r="I540" s="35"/>
      <c r="J540" s="49"/>
      <c r="K540" s="35"/>
      <c r="L540" s="35"/>
      <c r="M540" s="35"/>
    </row>
    <row r="541" ht="19.5" customHeight="1" spans="1:13">
      <c r="A541" s="35"/>
      <c r="B541" s="35"/>
      <c r="C541" s="35"/>
      <c r="D541" s="49"/>
      <c r="E541" s="35"/>
      <c r="F541" s="35"/>
      <c r="G541" s="49"/>
      <c r="H541" s="35"/>
      <c r="I541" s="35"/>
      <c r="J541" s="49"/>
      <c r="K541" s="35"/>
      <c r="L541" s="35"/>
      <c r="M541" s="35"/>
    </row>
    <row r="542" ht="19.5" customHeight="1" spans="1:13">
      <c r="A542" s="35"/>
      <c r="B542" s="35"/>
      <c r="C542" s="35"/>
      <c r="D542" s="49"/>
      <c r="E542" s="35"/>
      <c r="F542" s="35"/>
      <c r="G542" s="49"/>
      <c r="H542" s="35"/>
      <c r="I542" s="35"/>
      <c r="J542" s="49"/>
      <c r="K542" s="35"/>
      <c r="L542" s="35"/>
      <c r="M542" s="35"/>
    </row>
    <row r="543" ht="19.5" customHeight="1" spans="1:13">
      <c r="A543" s="35"/>
      <c r="B543" s="35"/>
      <c r="C543" s="35"/>
      <c r="D543" s="49"/>
      <c r="E543" s="35"/>
      <c r="F543" s="35"/>
      <c r="G543" s="49"/>
      <c r="H543" s="35"/>
      <c r="I543" s="35"/>
      <c r="J543" s="49"/>
      <c r="K543" s="35"/>
      <c r="L543" s="35"/>
      <c r="M543" s="35"/>
    </row>
    <row r="544" ht="19.5" customHeight="1" spans="1:13">
      <c r="A544" s="35"/>
      <c r="B544" s="35"/>
      <c r="C544" s="35"/>
      <c r="D544" s="49"/>
      <c r="E544" s="35"/>
      <c r="F544" s="35"/>
      <c r="G544" s="49"/>
      <c r="H544" s="35"/>
      <c r="I544" s="35"/>
      <c r="J544" s="49"/>
      <c r="K544" s="35"/>
      <c r="L544" s="35"/>
      <c r="M544" s="35"/>
    </row>
    <row r="545" ht="19.5" customHeight="1" spans="1:13">
      <c r="A545" s="35"/>
      <c r="B545" s="35"/>
      <c r="C545" s="35"/>
      <c r="D545" s="49"/>
      <c r="E545" s="35"/>
      <c r="F545" s="35"/>
      <c r="G545" s="49"/>
      <c r="H545" s="35"/>
      <c r="I545" s="35"/>
      <c r="J545" s="49"/>
      <c r="K545" s="35"/>
      <c r="L545" s="35"/>
      <c r="M545" s="35"/>
    </row>
    <row r="546" ht="19.5" customHeight="1" spans="1:13">
      <c r="A546" s="35"/>
      <c r="B546" s="35"/>
      <c r="C546" s="35"/>
      <c r="D546" s="49"/>
      <c r="E546" s="35"/>
      <c r="F546" s="35"/>
      <c r="G546" s="49"/>
      <c r="H546" s="35"/>
      <c r="I546" s="35"/>
      <c r="J546" s="49"/>
      <c r="K546" s="35"/>
      <c r="L546" s="35"/>
      <c r="M546" s="35"/>
    </row>
    <row r="547" ht="19.5" customHeight="1" spans="1:13">
      <c r="A547" s="35"/>
      <c r="B547" s="35"/>
      <c r="C547" s="35"/>
      <c r="D547" s="49"/>
      <c r="E547" s="35"/>
      <c r="F547" s="35"/>
      <c r="G547" s="49"/>
      <c r="H547" s="35"/>
      <c r="I547" s="35"/>
      <c r="J547" s="49"/>
      <c r="K547" s="35"/>
      <c r="L547" s="35"/>
      <c r="M547" s="35"/>
    </row>
    <row r="548" ht="19.5" customHeight="1" spans="1:13">
      <c r="A548" s="35"/>
      <c r="B548" s="35"/>
      <c r="C548" s="35"/>
      <c r="D548" s="49"/>
      <c r="E548" s="35"/>
      <c r="F548" s="35"/>
      <c r="G548" s="49"/>
      <c r="H548" s="35"/>
      <c r="I548" s="35"/>
      <c r="J548" s="49"/>
      <c r="K548" s="35"/>
      <c r="L548" s="35"/>
      <c r="M548" s="35"/>
    </row>
    <row r="549" ht="19.5" customHeight="1" spans="1:13">
      <c r="A549" s="35"/>
      <c r="B549" s="35"/>
      <c r="C549" s="35"/>
      <c r="D549" s="49"/>
      <c r="E549" s="35"/>
      <c r="F549" s="35"/>
      <c r="G549" s="49"/>
      <c r="H549" s="35"/>
      <c r="I549" s="35"/>
      <c r="J549" s="49"/>
      <c r="K549" s="35"/>
      <c r="L549" s="35"/>
      <c r="M549" s="35"/>
    </row>
    <row r="550" ht="19.5" customHeight="1" spans="1:13">
      <c r="A550" s="35"/>
      <c r="B550" s="35"/>
      <c r="C550" s="35"/>
      <c r="D550" s="49"/>
      <c r="E550" s="35"/>
      <c r="F550" s="35"/>
      <c r="G550" s="49"/>
      <c r="H550" s="35"/>
      <c r="I550" s="35"/>
      <c r="J550" s="49"/>
      <c r="K550" s="35"/>
      <c r="L550" s="35"/>
      <c r="M550" s="35"/>
    </row>
    <row r="551" ht="19.5" customHeight="1" spans="1:13">
      <c r="A551" s="35"/>
      <c r="B551" s="35"/>
      <c r="C551" s="35"/>
      <c r="D551" s="49"/>
      <c r="E551" s="35"/>
      <c r="F551" s="35"/>
      <c r="G551" s="49"/>
      <c r="H551" s="35"/>
      <c r="I551" s="35"/>
      <c r="J551" s="49"/>
      <c r="K551" s="35"/>
      <c r="L551" s="35"/>
      <c r="M551" s="35"/>
    </row>
    <row r="552" ht="19.5" customHeight="1" spans="1:13">
      <c r="A552" s="35"/>
      <c r="B552" s="35"/>
      <c r="C552" s="35"/>
      <c r="D552" s="49"/>
      <c r="E552" s="35"/>
      <c r="F552" s="35"/>
      <c r="G552" s="49"/>
      <c r="H552" s="35"/>
      <c r="I552" s="35"/>
      <c r="J552" s="49"/>
      <c r="K552" s="35"/>
      <c r="L552" s="35"/>
      <c r="M552" s="35"/>
    </row>
    <row r="553" ht="19.5" customHeight="1" spans="1:13">
      <c r="A553" s="35"/>
      <c r="B553" s="35"/>
      <c r="C553" s="35"/>
      <c r="D553" s="49"/>
      <c r="E553" s="35"/>
      <c r="F553" s="35"/>
      <c r="G553" s="49"/>
      <c r="H553" s="35"/>
      <c r="I553" s="35"/>
      <c r="J553" s="49"/>
      <c r="K553" s="35"/>
      <c r="L553" s="35"/>
      <c r="M553" s="35"/>
    </row>
    <row r="554" ht="19.5" customHeight="1" spans="1:13">
      <c r="A554" s="35"/>
      <c r="B554" s="35"/>
      <c r="C554" s="35"/>
      <c r="D554" s="49"/>
      <c r="E554" s="35"/>
      <c r="F554" s="35"/>
      <c r="G554" s="49"/>
      <c r="H554" s="35"/>
      <c r="I554" s="35"/>
      <c r="J554" s="49"/>
      <c r="K554" s="35"/>
      <c r="L554" s="35"/>
      <c r="M554" s="35"/>
    </row>
    <row r="555" ht="19.5" customHeight="1" spans="1:13">
      <c r="A555" s="35"/>
      <c r="B555" s="35"/>
      <c r="C555" s="35"/>
      <c r="D555" s="49"/>
      <c r="E555" s="35"/>
      <c r="F555" s="35"/>
      <c r="G555" s="49"/>
      <c r="H555" s="35"/>
      <c r="I555" s="35"/>
      <c r="J555" s="49"/>
      <c r="K555" s="35"/>
      <c r="L555" s="35"/>
      <c r="M555" s="35"/>
    </row>
    <row r="556" ht="19.5" customHeight="1" spans="1:13">
      <c r="A556" s="35"/>
      <c r="B556" s="35"/>
      <c r="C556" s="35"/>
      <c r="D556" s="49"/>
      <c r="E556" s="35"/>
      <c r="F556" s="35"/>
      <c r="G556" s="49"/>
      <c r="H556" s="35"/>
      <c r="I556" s="35"/>
      <c r="J556" s="49"/>
      <c r="K556" s="35"/>
      <c r="L556" s="35"/>
      <c r="M556" s="35"/>
    </row>
    <row r="557" ht="19.5" customHeight="1" spans="1:13">
      <c r="A557" s="35"/>
      <c r="B557" s="35"/>
      <c r="C557" s="35"/>
      <c r="D557" s="49"/>
      <c r="E557" s="35"/>
      <c r="F557" s="35"/>
      <c r="G557" s="49"/>
      <c r="H557" s="35"/>
      <c r="I557" s="35"/>
      <c r="J557" s="49"/>
      <c r="K557" s="35"/>
      <c r="L557" s="35"/>
      <c r="M557" s="35"/>
    </row>
    <row r="558" ht="19.5" customHeight="1" spans="1:13">
      <c r="A558" s="35"/>
      <c r="B558" s="35"/>
      <c r="C558" s="35"/>
      <c r="D558" s="49"/>
      <c r="E558" s="35"/>
      <c r="F558" s="35"/>
      <c r="G558" s="49"/>
      <c r="H558" s="35"/>
      <c r="I558" s="35"/>
      <c r="J558" s="49"/>
      <c r="K558" s="35"/>
      <c r="L558" s="35"/>
      <c r="M558" s="35"/>
    </row>
    <row r="559" ht="19.5" customHeight="1" spans="1:13">
      <c r="A559" s="35"/>
      <c r="B559" s="35"/>
      <c r="C559" s="35"/>
      <c r="D559" s="49"/>
      <c r="E559" s="35"/>
      <c r="F559" s="35"/>
      <c r="G559" s="49"/>
      <c r="H559" s="35"/>
      <c r="I559" s="35"/>
      <c r="J559" s="49"/>
      <c r="K559" s="35"/>
      <c r="L559" s="35"/>
      <c r="M559" s="35"/>
    </row>
    <row r="560" ht="19.5" customHeight="1" spans="1:13">
      <c r="A560" s="35"/>
      <c r="B560" s="35"/>
      <c r="C560" s="35"/>
      <c r="D560" s="49"/>
      <c r="E560" s="35"/>
      <c r="F560" s="35"/>
      <c r="G560" s="49"/>
      <c r="H560" s="35"/>
      <c r="I560" s="35"/>
      <c r="J560" s="49"/>
      <c r="K560" s="35"/>
      <c r="L560" s="35"/>
      <c r="M560" s="35"/>
    </row>
    <row r="561" ht="19.5" customHeight="1" spans="1:13">
      <c r="A561" s="35"/>
      <c r="B561" s="35"/>
      <c r="C561" s="35"/>
      <c r="D561" s="49"/>
      <c r="E561" s="35"/>
      <c r="F561" s="35"/>
      <c r="G561" s="49"/>
      <c r="H561" s="35"/>
      <c r="I561" s="35"/>
      <c r="J561" s="49"/>
      <c r="K561" s="35"/>
      <c r="L561" s="35"/>
      <c r="M561" s="35"/>
    </row>
    <row r="562" ht="19.5" customHeight="1" spans="1:13">
      <c r="A562" s="35"/>
      <c r="B562" s="35"/>
      <c r="C562" s="35"/>
      <c r="D562" s="49"/>
      <c r="E562" s="35"/>
      <c r="F562" s="35"/>
      <c r="G562" s="49"/>
      <c r="H562" s="35"/>
      <c r="I562" s="35"/>
      <c r="J562" s="49"/>
      <c r="K562" s="35"/>
      <c r="L562" s="35"/>
      <c r="M562" s="35"/>
    </row>
    <row r="563" ht="19.5" customHeight="1" spans="1:13">
      <c r="A563" s="35"/>
      <c r="B563" s="35"/>
      <c r="C563" s="35"/>
      <c r="D563" s="49"/>
      <c r="E563" s="35"/>
      <c r="F563" s="35"/>
      <c r="G563" s="49"/>
      <c r="H563" s="35"/>
      <c r="I563" s="35"/>
      <c r="J563" s="49"/>
      <c r="K563" s="35"/>
      <c r="L563" s="35"/>
      <c r="M563" s="35"/>
    </row>
    <row r="564" ht="19.5" customHeight="1" spans="1:13">
      <c r="A564" s="35"/>
      <c r="B564" s="35"/>
      <c r="C564" s="35"/>
      <c r="D564" s="49"/>
      <c r="E564" s="35"/>
      <c r="F564" s="35"/>
      <c r="G564" s="49"/>
      <c r="H564" s="35"/>
      <c r="I564" s="35"/>
      <c r="J564" s="49"/>
      <c r="K564" s="35"/>
      <c r="L564" s="35"/>
      <c r="M564" s="35"/>
    </row>
    <row r="565" ht="19.5" customHeight="1" spans="1:13">
      <c r="A565" s="35"/>
      <c r="B565" s="35"/>
      <c r="C565" s="35"/>
      <c r="D565" s="49"/>
      <c r="E565" s="35"/>
      <c r="F565" s="35"/>
      <c r="G565" s="49"/>
      <c r="H565" s="35"/>
      <c r="I565" s="35"/>
      <c r="J565" s="49"/>
      <c r="K565" s="35"/>
      <c r="L565" s="35"/>
      <c r="M565" s="35"/>
    </row>
    <row r="566" ht="19.5" customHeight="1" spans="1:13">
      <c r="A566" s="35"/>
      <c r="B566" s="35"/>
      <c r="C566" s="35"/>
      <c r="D566" s="49"/>
      <c r="E566" s="35"/>
      <c r="F566" s="35"/>
      <c r="G566" s="49"/>
      <c r="H566" s="35"/>
      <c r="I566" s="35"/>
      <c r="J566" s="49"/>
      <c r="K566" s="35"/>
      <c r="L566" s="35"/>
      <c r="M566" s="35"/>
    </row>
    <row r="567" ht="19.5" customHeight="1" spans="1:13">
      <c r="A567" s="35"/>
      <c r="B567" s="35"/>
      <c r="C567" s="35"/>
      <c r="D567" s="49"/>
      <c r="E567" s="35"/>
      <c r="F567" s="35"/>
      <c r="G567" s="49"/>
      <c r="H567" s="35"/>
      <c r="I567" s="35"/>
      <c r="J567" s="49"/>
      <c r="K567" s="35"/>
      <c r="L567" s="35"/>
      <c r="M567" s="35"/>
    </row>
    <row r="568" ht="19.5" customHeight="1" spans="1:13">
      <c r="A568" s="35"/>
      <c r="B568" s="35"/>
      <c r="C568" s="35"/>
      <c r="D568" s="49"/>
      <c r="E568" s="35"/>
      <c r="F568" s="35"/>
      <c r="G568" s="49"/>
      <c r="H568" s="35"/>
      <c r="I568" s="35"/>
      <c r="J568" s="49"/>
      <c r="K568" s="35"/>
      <c r="L568" s="35"/>
      <c r="M568" s="35"/>
    </row>
    <row r="569" ht="19.5" customHeight="1" spans="1:13">
      <c r="A569" s="35"/>
      <c r="B569" s="35"/>
      <c r="C569" s="35"/>
      <c r="D569" s="49"/>
      <c r="E569" s="35"/>
      <c r="F569" s="35"/>
      <c r="G569" s="49"/>
      <c r="H569" s="35"/>
      <c r="I569" s="35"/>
      <c r="J569" s="49"/>
      <c r="K569" s="35"/>
      <c r="L569" s="35"/>
      <c r="M569" s="35"/>
    </row>
    <row r="570" ht="19.5" customHeight="1" spans="1:13">
      <c r="A570" s="35"/>
      <c r="B570" s="35"/>
      <c r="C570" s="35"/>
      <c r="D570" s="49"/>
      <c r="E570" s="35"/>
      <c r="F570" s="35"/>
      <c r="G570" s="49"/>
      <c r="H570" s="35"/>
      <c r="I570" s="35"/>
      <c r="J570" s="49"/>
      <c r="K570" s="35"/>
      <c r="L570" s="35"/>
      <c r="M570" s="35"/>
    </row>
    <row r="571" ht="19.5" customHeight="1" spans="1:13">
      <c r="A571" s="35"/>
      <c r="B571" s="35"/>
      <c r="C571" s="35"/>
      <c r="D571" s="49"/>
      <c r="E571" s="35"/>
      <c r="F571" s="35"/>
      <c r="G571" s="49"/>
      <c r="H571" s="35"/>
      <c r="I571" s="35"/>
      <c r="J571" s="49"/>
      <c r="K571" s="35"/>
      <c r="L571" s="35"/>
      <c r="M571" s="35"/>
    </row>
    <row r="572" ht="19.5" customHeight="1" spans="1:13">
      <c r="A572" s="35"/>
      <c r="B572" s="35"/>
      <c r="C572" s="35"/>
      <c r="D572" s="49"/>
      <c r="E572" s="35"/>
      <c r="F572" s="35"/>
      <c r="G572" s="49"/>
      <c r="H572" s="35"/>
      <c r="I572" s="35"/>
      <c r="J572" s="49"/>
      <c r="K572" s="35"/>
      <c r="L572" s="35"/>
      <c r="M572" s="35"/>
    </row>
    <row r="573" ht="19.5" customHeight="1" spans="1:13">
      <c r="A573" s="35"/>
      <c r="B573" s="35"/>
      <c r="C573" s="35"/>
      <c r="D573" s="49"/>
      <c r="E573" s="35"/>
      <c r="F573" s="35"/>
      <c r="G573" s="49"/>
      <c r="H573" s="35"/>
      <c r="I573" s="35"/>
      <c r="J573" s="49"/>
      <c r="K573" s="35"/>
      <c r="L573" s="35"/>
      <c r="M573" s="35"/>
    </row>
    <row r="574" ht="19.5" customHeight="1" spans="1:13">
      <c r="A574" s="35"/>
      <c r="B574" s="35"/>
      <c r="C574" s="35"/>
      <c r="D574" s="49"/>
      <c r="E574" s="35"/>
      <c r="F574" s="35"/>
      <c r="G574" s="49"/>
      <c r="H574" s="35"/>
      <c r="I574" s="35"/>
      <c r="J574" s="49"/>
      <c r="K574" s="35"/>
      <c r="L574" s="35"/>
      <c r="M574" s="35"/>
    </row>
    <row r="575" ht="19.5" customHeight="1" spans="1:13">
      <c r="A575" s="35"/>
      <c r="B575" s="35"/>
      <c r="C575" s="35"/>
      <c r="D575" s="49"/>
      <c r="E575" s="35"/>
      <c r="F575" s="35"/>
      <c r="G575" s="49"/>
      <c r="H575" s="35"/>
      <c r="I575" s="35"/>
      <c r="J575" s="49"/>
      <c r="K575" s="35"/>
      <c r="L575" s="35"/>
      <c r="M575" s="35"/>
    </row>
    <row r="576" ht="19.5" customHeight="1" spans="1:13">
      <c r="A576" s="35"/>
      <c r="B576" s="35"/>
      <c r="C576" s="35"/>
      <c r="D576" s="49"/>
      <c r="E576" s="35"/>
      <c r="F576" s="35"/>
      <c r="G576" s="49"/>
      <c r="H576" s="35"/>
      <c r="I576" s="35"/>
      <c r="J576" s="49"/>
      <c r="K576" s="35"/>
      <c r="L576" s="35"/>
      <c r="M576" s="35"/>
    </row>
    <row r="577" ht="19.5" customHeight="1" spans="1:13">
      <c r="A577" s="35"/>
      <c r="B577" s="35"/>
      <c r="C577" s="35"/>
      <c r="D577" s="49"/>
      <c r="E577" s="35"/>
      <c r="F577" s="35"/>
      <c r="G577" s="49"/>
      <c r="H577" s="35"/>
      <c r="I577" s="35"/>
      <c r="J577" s="49"/>
      <c r="K577" s="35"/>
      <c r="L577" s="35"/>
      <c r="M577" s="35"/>
    </row>
    <row r="578" ht="19.5" customHeight="1" spans="1:13">
      <c r="A578" s="35"/>
      <c r="B578" s="35"/>
      <c r="C578" s="35"/>
      <c r="D578" s="49"/>
      <c r="E578" s="35"/>
      <c r="F578" s="35"/>
      <c r="G578" s="49"/>
      <c r="H578" s="35"/>
      <c r="I578" s="35"/>
      <c r="J578" s="49"/>
      <c r="K578" s="35"/>
      <c r="L578" s="35"/>
      <c r="M578" s="35"/>
    </row>
    <row r="579" ht="19.5" customHeight="1" spans="1:13">
      <c r="A579" s="35"/>
      <c r="B579" s="35"/>
      <c r="C579" s="35"/>
      <c r="D579" s="49"/>
      <c r="E579" s="35"/>
      <c r="F579" s="35"/>
      <c r="G579" s="49"/>
      <c r="H579" s="35"/>
      <c r="I579" s="35"/>
      <c r="J579" s="49"/>
      <c r="K579" s="35"/>
      <c r="L579" s="35"/>
      <c r="M579" s="35"/>
    </row>
    <row r="580" ht="19.5" customHeight="1" spans="1:13">
      <c r="A580" s="35"/>
      <c r="B580" s="35"/>
      <c r="C580" s="35"/>
      <c r="D580" s="49"/>
      <c r="E580" s="35"/>
      <c r="F580" s="35"/>
      <c r="G580" s="49"/>
      <c r="H580" s="35"/>
      <c r="I580" s="35"/>
      <c r="J580" s="49"/>
      <c r="K580" s="35"/>
      <c r="L580" s="35"/>
      <c r="M580" s="35"/>
    </row>
    <row r="581" ht="19.5" customHeight="1" spans="1:13">
      <c r="A581" s="35"/>
      <c r="B581" s="35"/>
      <c r="C581" s="35"/>
      <c r="D581" s="49"/>
      <c r="E581" s="35"/>
      <c r="F581" s="35"/>
      <c r="G581" s="49"/>
      <c r="H581" s="35"/>
      <c r="I581" s="35"/>
      <c r="J581" s="49"/>
      <c r="K581" s="35"/>
      <c r="L581" s="35"/>
      <c r="M581" s="35"/>
    </row>
    <row r="582" ht="19.5" customHeight="1" spans="1:13">
      <c r="A582" s="35"/>
      <c r="B582" s="35"/>
      <c r="C582" s="35"/>
      <c r="D582" s="49"/>
      <c r="E582" s="35"/>
      <c r="F582" s="35"/>
      <c r="G582" s="49"/>
      <c r="H582" s="35"/>
      <c r="I582" s="35"/>
      <c r="J582" s="49"/>
      <c r="K582" s="35"/>
      <c r="L582" s="35"/>
      <c r="M582" s="35"/>
    </row>
    <row r="583" ht="19.5" customHeight="1" spans="1:13">
      <c r="A583" s="35"/>
      <c r="B583" s="35"/>
      <c r="C583" s="35"/>
      <c r="D583" s="49"/>
      <c r="E583" s="35"/>
      <c r="F583" s="35"/>
      <c r="G583" s="49"/>
      <c r="H583" s="35"/>
      <c r="I583" s="35"/>
      <c r="J583" s="49"/>
      <c r="K583" s="35"/>
      <c r="L583" s="35"/>
      <c r="M583" s="35"/>
    </row>
    <row r="584" ht="19.5" customHeight="1" spans="1:13">
      <c r="A584" s="35"/>
      <c r="B584" s="35"/>
      <c r="C584" s="35"/>
      <c r="D584" s="49"/>
      <c r="E584" s="35"/>
      <c r="F584" s="35"/>
      <c r="G584" s="49"/>
      <c r="H584" s="35"/>
      <c r="I584" s="35"/>
      <c r="J584" s="49"/>
      <c r="K584" s="35"/>
      <c r="L584" s="35"/>
      <c r="M584" s="35"/>
    </row>
    <row r="585" ht="19.5" customHeight="1" spans="1:13">
      <c r="A585" s="35"/>
      <c r="B585" s="35"/>
      <c r="C585" s="35"/>
      <c r="D585" s="49"/>
      <c r="E585" s="35"/>
      <c r="F585" s="35"/>
      <c r="G585" s="49"/>
      <c r="H585" s="35"/>
      <c r="I585" s="35"/>
      <c r="J585" s="49"/>
      <c r="K585" s="35"/>
      <c r="L585" s="35"/>
      <c r="M585" s="35"/>
    </row>
    <row r="586" ht="19.5" customHeight="1" spans="1:13">
      <c r="A586" s="35"/>
      <c r="B586" s="35"/>
      <c r="C586" s="35"/>
      <c r="D586" s="49"/>
      <c r="E586" s="35"/>
      <c r="F586" s="35"/>
      <c r="G586" s="49"/>
      <c r="H586" s="35"/>
      <c r="I586" s="35"/>
      <c r="J586" s="49"/>
      <c r="K586" s="35"/>
      <c r="L586" s="35"/>
      <c r="M586" s="35"/>
    </row>
    <row r="587" ht="19.5" customHeight="1" spans="1:13">
      <c r="A587" s="35"/>
      <c r="B587" s="35"/>
      <c r="C587" s="35"/>
      <c r="D587" s="49"/>
      <c r="E587" s="35"/>
      <c r="F587" s="35"/>
      <c r="G587" s="49"/>
      <c r="H587" s="35"/>
      <c r="I587" s="35"/>
      <c r="J587" s="49"/>
      <c r="K587" s="35"/>
      <c r="L587" s="35"/>
      <c r="M587" s="35"/>
    </row>
    <row r="588" ht="19.5" customHeight="1" spans="1:13">
      <c r="A588" s="35"/>
      <c r="B588" s="35"/>
      <c r="C588" s="35"/>
      <c r="D588" s="49"/>
      <c r="E588" s="35"/>
      <c r="F588" s="35"/>
      <c r="G588" s="49"/>
      <c r="H588" s="35"/>
      <c r="I588" s="35"/>
      <c r="J588" s="49"/>
      <c r="K588" s="35"/>
      <c r="L588" s="35"/>
      <c r="M588" s="35"/>
    </row>
    <row r="589" ht="19.5" customHeight="1" spans="1:13">
      <c r="A589" s="35"/>
      <c r="B589" s="35"/>
      <c r="C589" s="35"/>
      <c r="D589" s="49"/>
      <c r="E589" s="35"/>
      <c r="F589" s="35"/>
      <c r="G589" s="49"/>
      <c r="H589" s="35"/>
      <c r="I589" s="35"/>
      <c r="J589" s="49"/>
      <c r="K589" s="35"/>
      <c r="L589" s="35"/>
      <c r="M589" s="35"/>
    </row>
    <row r="590" ht="19.5" customHeight="1" spans="1:13">
      <c r="A590" s="35"/>
      <c r="B590" s="35"/>
      <c r="C590" s="35"/>
      <c r="D590" s="49"/>
      <c r="E590" s="35"/>
      <c r="F590" s="35"/>
      <c r="G590" s="49"/>
      <c r="H590" s="35"/>
      <c r="I590" s="35"/>
      <c r="J590" s="49"/>
      <c r="K590" s="35"/>
      <c r="L590" s="35"/>
      <c r="M590" s="35"/>
    </row>
    <row r="591" ht="19.5" customHeight="1" spans="1:13">
      <c r="A591" s="35"/>
      <c r="B591" s="35"/>
      <c r="C591" s="35"/>
      <c r="D591" s="49"/>
      <c r="E591" s="35"/>
      <c r="F591" s="35"/>
      <c r="G591" s="49"/>
      <c r="H591" s="35"/>
      <c r="I591" s="35"/>
      <c r="J591" s="49"/>
      <c r="K591" s="35"/>
      <c r="L591" s="35"/>
      <c r="M591" s="35"/>
    </row>
    <row r="592" ht="19.5" customHeight="1" spans="1:13">
      <c r="A592" s="35"/>
      <c r="B592" s="35"/>
      <c r="C592" s="35"/>
      <c r="D592" s="49"/>
      <c r="E592" s="35"/>
      <c r="F592" s="35"/>
      <c r="G592" s="49"/>
      <c r="H592" s="35"/>
      <c r="I592" s="35"/>
      <c r="J592" s="49"/>
      <c r="K592" s="35"/>
      <c r="L592" s="35"/>
      <c r="M592" s="35"/>
    </row>
    <row r="593" ht="19.5" customHeight="1" spans="1:13">
      <c r="A593" s="35"/>
      <c r="B593" s="35"/>
      <c r="C593" s="35"/>
      <c r="D593" s="49"/>
      <c r="E593" s="35"/>
      <c r="F593" s="35"/>
      <c r="G593" s="49"/>
      <c r="H593" s="35"/>
      <c r="I593" s="35"/>
      <c r="J593" s="49"/>
      <c r="K593" s="35"/>
      <c r="L593" s="35"/>
      <c r="M593" s="35"/>
    </row>
    <row r="594" ht="19.5" customHeight="1" spans="1:13">
      <c r="A594" s="35"/>
      <c r="B594" s="35"/>
      <c r="C594" s="35"/>
      <c r="D594" s="49"/>
      <c r="E594" s="35"/>
      <c r="F594" s="35"/>
      <c r="G594" s="49"/>
      <c r="H594" s="35"/>
      <c r="I594" s="35"/>
      <c r="J594" s="49"/>
      <c r="K594" s="35"/>
      <c r="L594" s="35"/>
      <c r="M594" s="35"/>
    </row>
    <row r="595" ht="19.5" customHeight="1" spans="1:13">
      <c r="A595" s="35"/>
      <c r="B595" s="35"/>
      <c r="C595" s="35"/>
      <c r="D595" s="49"/>
      <c r="E595" s="35"/>
      <c r="F595" s="35"/>
      <c r="G595" s="49"/>
      <c r="H595" s="35"/>
      <c r="I595" s="35"/>
      <c r="J595" s="49"/>
      <c r="K595" s="35"/>
      <c r="L595" s="35"/>
      <c r="M595" s="35"/>
    </row>
    <row r="596" ht="19.5" customHeight="1" spans="1:13">
      <c r="A596" s="35"/>
      <c r="B596" s="35"/>
      <c r="C596" s="35"/>
      <c r="D596" s="49"/>
      <c r="E596" s="35"/>
      <c r="F596" s="35"/>
      <c r="G596" s="49"/>
      <c r="H596" s="35"/>
      <c r="I596" s="35"/>
      <c r="J596" s="49"/>
      <c r="K596" s="35"/>
      <c r="L596" s="35"/>
      <c r="M596" s="35"/>
    </row>
    <row r="597" ht="19.5" customHeight="1" spans="1:13">
      <c r="A597" s="35"/>
      <c r="B597" s="35"/>
      <c r="C597" s="35"/>
      <c r="D597" s="49"/>
      <c r="E597" s="35"/>
      <c r="F597" s="35"/>
      <c r="G597" s="49"/>
      <c r="H597" s="35"/>
      <c r="I597" s="35"/>
      <c r="J597" s="49"/>
      <c r="K597" s="35"/>
      <c r="L597" s="35"/>
      <c r="M597" s="35"/>
    </row>
    <row r="598" ht="19.5" customHeight="1" spans="1:13">
      <c r="A598" s="35"/>
      <c r="B598" s="35"/>
      <c r="C598" s="35"/>
      <c r="D598" s="49"/>
      <c r="E598" s="35"/>
      <c r="F598" s="35"/>
      <c r="G598" s="49"/>
      <c r="H598" s="35"/>
      <c r="I598" s="35"/>
      <c r="J598" s="49"/>
      <c r="K598" s="35"/>
      <c r="L598" s="35"/>
      <c r="M598" s="35"/>
    </row>
    <row r="599" ht="19.5" customHeight="1" spans="1:13">
      <c r="A599" s="35"/>
      <c r="B599" s="35"/>
      <c r="C599" s="35"/>
      <c r="D599" s="49"/>
      <c r="E599" s="35"/>
      <c r="F599" s="35"/>
      <c r="G599" s="49"/>
      <c r="H599" s="35"/>
      <c r="I599" s="35"/>
      <c r="J599" s="49"/>
      <c r="K599" s="35"/>
      <c r="L599" s="35"/>
      <c r="M599" s="35"/>
    </row>
    <row r="600" ht="19.5" customHeight="1" spans="1:13">
      <c r="A600" s="35"/>
      <c r="B600" s="35"/>
      <c r="C600" s="35"/>
      <c r="D600" s="49"/>
      <c r="E600" s="35"/>
      <c r="F600" s="35"/>
      <c r="G600" s="49"/>
      <c r="H600" s="35"/>
      <c r="I600" s="35"/>
      <c r="J600" s="49"/>
      <c r="K600" s="35"/>
      <c r="L600" s="35"/>
      <c r="M600" s="35"/>
    </row>
    <row r="601" ht="19.5" customHeight="1" spans="1:13">
      <c r="A601" s="35"/>
      <c r="B601" s="35"/>
      <c r="C601" s="35"/>
      <c r="D601" s="49"/>
      <c r="E601" s="35"/>
      <c r="F601" s="35"/>
      <c r="G601" s="49"/>
      <c r="H601" s="35"/>
      <c r="I601" s="35"/>
      <c r="J601" s="49"/>
      <c r="K601" s="35"/>
      <c r="L601" s="35"/>
      <c r="M601" s="35"/>
    </row>
    <row r="602" ht="19.5" customHeight="1" spans="1:13">
      <c r="A602" s="35"/>
      <c r="B602" s="35"/>
      <c r="C602" s="35"/>
      <c r="D602" s="49"/>
      <c r="E602" s="35"/>
      <c r="F602" s="35"/>
      <c r="G602" s="49"/>
      <c r="H602" s="35"/>
      <c r="I602" s="35"/>
      <c r="J602" s="49"/>
      <c r="K602" s="35"/>
      <c r="L602" s="35"/>
      <c r="M602" s="35"/>
    </row>
    <row r="603" ht="19.5" customHeight="1" spans="1:13">
      <c r="A603" s="35"/>
      <c r="B603" s="35"/>
      <c r="C603" s="35"/>
      <c r="D603" s="49"/>
      <c r="E603" s="35"/>
      <c r="F603" s="35"/>
      <c r="G603" s="49"/>
      <c r="H603" s="35"/>
      <c r="I603" s="35"/>
      <c r="J603" s="49"/>
      <c r="K603" s="35"/>
      <c r="L603" s="35"/>
      <c r="M603" s="35"/>
    </row>
    <row r="604" ht="19.5" customHeight="1" spans="1:13">
      <c r="A604" s="35"/>
      <c r="B604" s="35"/>
      <c r="C604" s="35"/>
      <c r="D604" s="49"/>
      <c r="E604" s="35"/>
      <c r="F604" s="35"/>
      <c r="G604" s="49"/>
      <c r="H604" s="35"/>
      <c r="I604" s="35"/>
      <c r="J604" s="49"/>
      <c r="K604" s="35"/>
      <c r="L604" s="35"/>
      <c r="M604" s="35"/>
    </row>
    <row r="605" ht="19.5" customHeight="1" spans="1:13">
      <c r="A605" s="35"/>
      <c r="B605" s="35"/>
      <c r="C605" s="35"/>
      <c r="D605" s="49"/>
      <c r="E605" s="35"/>
      <c r="F605" s="35"/>
      <c r="G605" s="49"/>
      <c r="H605" s="35"/>
      <c r="I605" s="35"/>
      <c r="J605" s="49"/>
      <c r="K605" s="35"/>
      <c r="L605" s="35"/>
      <c r="M605" s="35"/>
    </row>
    <row r="606" ht="19.5" customHeight="1" spans="1:13">
      <c r="A606" s="35"/>
      <c r="B606" s="35"/>
      <c r="C606" s="35"/>
      <c r="D606" s="49"/>
      <c r="E606" s="35"/>
      <c r="F606" s="35"/>
      <c r="G606" s="49"/>
      <c r="H606" s="35"/>
      <c r="I606" s="35"/>
      <c r="J606" s="49"/>
      <c r="K606" s="35"/>
      <c r="L606" s="35"/>
      <c r="M606" s="35"/>
    </row>
    <row r="607" ht="19.5" customHeight="1" spans="1:13">
      <c r="A607" s="35"/>
      <c r="B607" s="35"/>
      <c r="C607" s="35"/>
      <c r="D607" s="49"/>
      <c r="E607" s="35"/>
      <c r="F607" s="35"/>
      <c r="G607" s="49"/>
      <c r="H607" s="35"/>
      <c r="I607" s="35"/>
      <c r="J607" s="49"/>
      <c r="K607" s="35"/>
      <c r="L607" s="35"/>
      <c r="M607" s="35"/>
    </row>
    <row r="608" ht="19.5" customHeight="1" spans="1:13">
      <c r="A608" s="35"/>
      <c r="B608" s="35"/>
      <c r="C608" s="35"/>
      <c r="D608" s="49"/>
      <c r="E608" s="35"/>
      <c r="F608" s="35"/>
      <c r="G608" s="49"/>
      <c r="H608" s="35"/>
      <c r="I608" s="35"/>
      <c r="J608" s="49"/>
      <c r="K608" s="35"/>
      <c r="L608" s="35"/>
      <c r="M608" s="35"/>
    </row>
    <row r="609" ht="19.5" customHeight="1" spans="1:13">
      <c r="A609" s="35"/>
      <c r="B609" s="35"/>
      <c r="C609" s="35"/>
      <c r="D609" s="49"/>
      <c r="E609" s="35"/>
      <c r="F609" s="35"/>
      <c r="G609" s="49"/>
      <c r="H609" s="35"/>
      <c r="I609" s="35"/>
      <c r="J609" s="49"/>
      <c r="K609" s="35"/>
      <c r="L609" s="35"/>
      <c r="M609" s="35"/>
    </row>
    <row r="610" ht="19.5" customHeight="1" spans="1:13">
      <c r="A610" s="35"/>
      <c r="B610" s="35"/>
      <c r="C610" s="35"/>
      <c r="D610" s="49"/>
      <c r="E610" s="35"/>
      <c r="F610" s="35"/>
      <c r="G610" s="49"/>
      <c r="H610" s="35"/>
      <c r="I610" s="35"/>
      <c r="J610" s="49"/>
      <c r="K610" s="35"/>
      <c r="L610" s="35"/>
      <c r="M610" s="35"/>
    </row>
    <row r="611" ht="19.5" customHeight="1" spans="1:13">
      <c r="A611" s="35"/>
      <c r="B611" s="35"/>
      <c r="C611" s="35"/>
      <c r="D611" s="49"/>
      <c r="E611" s="35"/>
      <c r="F611" s="35"/>
      <c r="G611" s="49"/>
      <c r="H611" s="35"/>
      <c r="I611" s="35"/>
      <c r="J611" s="49"/>
      <c r="K611" s="35"/>
      <c r="L611" s="35"/>
      <c r="M611" s="35"/>
    </row>
    <row r="612" ht="19.5" customHeight="1" spans="1:13">
      <c r="A612" s="35"/>
      <c r="B612" s="35"/>
      <c r="C612" s="35"/>
      <c r="D612" s="49"/>
      <c r="E612" s="35"/>
      <c r="F612" s="35"/>
      <c r="G612" s="49"/>
      <c r="H612" s="35"/>
      <c r="I612" s="35"/>
      <c r="J612" s="49"/>
      <c r="K612" s="35"/>
      <c r="L612" s="35"/>
      <c r="M612" s="35"/>
    </row>
    <row r="613" ht="19.5" customHeight="1" spans="1:13">
      <c r="A613" s="35"/>
      <c r="B613" s="35"/>
      <c r="C613" s="35"/>
      <c r="D613" s="49"/>
      <c r="E613" s="35"/>
      <c r="F613" s="35"/>
      <c r="G613" s="49"/>
      <c r="H613" s="35"/>
      <c r="I613" s="35"/>
      <c r="J613" s="49"/>
      <c r="K613" s="35"/>
      <c r="L613" s="35"/>
      <c r="M613" s="35"/>
    </row>
    <row r="614" ht="19.5" customHeight="1" spans="1:13">
      <c r="A614" s="35"/>
      <c r="B614" s="35"/>
      <c r="C614" s="35"/>
      <c r="D614" s="49"/>
      <c r="E614" s="35"/>
      <c r="F614" s="35"/>
      <c r="G614" s="49"/>
      <c r="H614" s="35"/>
      <c r="I614" s="35"/>
      <c r="J614" s="49"/>
      <c r="K614" s="35"/>
      <c r="L614" s="35"/>
      <c r="M614" s="35"/>
    </row>
    <row r="615" ht="19.5" customHeight="1" spans="1:13">
      <c r="A615" s="35"/>
      <c r="B615" s="35"/>
      <c r="C615" s="35"/>
      <c r="D615" s="49"/>
      <c r="E615" s="35"/>
      <c r="F615" s="35"/>
      <c r="G615" s="49"/>
      <c r="H615" s="35"/>
      <c r="I615" s="35"/>
      <c r="J615" s="49"/>
      <c r="K615" s="35"/>
      <c r="L615" s="35"/>
      <c r="M615" s="35"/>
    </row>
    <row r="616" ht="19.5" customHeight="1" spans="1:13">
      <c r="A616" s="35"/>
      <c r="B616" s="35"/>
      <c r="C616" s="35"/>
      <c r="D616" s="49"/>
      <c r="E616" s="35"/>
      <c r="F616" s="35"/>
      <c r="G616" s="49"/>
      <c r="H616" s="35"/>
      <c r="I616" s="35"/>
      <c r="J616" s="49"/>
      <c r="K616" s="35"/>
      <c r="L616" s="35"/>
      <c r="M616" s="35"/>
    </row>
    <row r="617" ht="19.5" customHeight="1" spans="1:13">
      <c r="A617" s="35"/>
      <c r="B617" s="35"/>
      <c r="C617" s="35"/>
      <c r="D617" s="49"/>
      <c r="E617" s="35"/>
      <c r="F617" s="35"/>
      <c r="G617" s="49"/>
      <c r="H617" s="35"/>
      <c r="I617" s="35"/>
      <c r="J617" s="49"/>
      <c r="K617" s="35"/>
      <c r="L617" s="35"/>
      <c r="M617" s="35"/>
    </row>
    <row r="618" ht="19.5" customHeight="1" spans="1:13">
      <c r="A618" s="35"/>
      <c r="B618" s="35"/>
      <c r="C618" s="35"/>
      <c r="D618" s="49"/>
      <c r="E618" s="35"/>
      <c r="F618" s="35"/>
      <c r="G618" s="49"/>
      <c r="H618" s="35"/>
      <c r="I618" s="35"/>
      <c r="J618" s="49"/>
      <c r="K618" s="35"/>
      <c r="L618" s="35"/>
      <c r="M618" s="35"/>
    </row>
    <row r="619" ht="19.5" customHeight="1" spans="1:13">
      <c r="D619" s="93"/>
      <c r="G619" s="93"/>
      <c r="J619" s="93"/>
    </row>
    <row r="620" ht="19.5" customHeight="1" spans="1:13">
      <c r="D620" s="93"/>
      <c r="G620" s="93"/>
      <c r="J620" s="93"/>
    </row>
    <row r="621" ht="19.5" customHeight="1" spans="1:13">
      <c r="D621" s="93"/>
      <c r="G621" s="93"/>
      <c r="J621" s="93"/>
    </row>
    <row r="622" ht="19.5" customHeight="1" spans="1:13">
      <c r="D622" s="93"/>
      <c r="G622" s="93"/>
      <c r="J622" s="93"/>
    </row>
    <row r="623" ht="19.5" customHeight="1" spans="1:13">
      <c r="D623" s="93"/>
      <c r="G623" s="93"/>
      <c r="J623" s="93"/>
    </row>
    <row r="624" ht="19.5" customHeight="1" spans="1:13">
      <c r="D624" s="93"/>
      <c r="G624" s="93"/>
      <c r="J624" s="93"/>
    </row>
    <row r="625" ht="19.5" customHeight="1" spans="4:10">
      <c r="D625" s="93"/>
      <c r="G625" s="93"/>
      <c r="J625" s="93"/>
    </row>
    <row r="626" ht="19.5" customHeight="1" spans="4:10">
      <c r="D626" s="93"/>
      <c r="G626" s="93"/>
      <c r="J626" s="93"/>
    </row>
    <row r="627" ht="19.5" customHeight="1" spans="4:10">
      <c r="D627" s="93"/>
      <c r="G627" s="93"/>
      <c r="J627" s="93"/>
    </row>
    <row r="628" ht="19.5" customHeight="1" spans="4:10">
      <c r="D628" s="93"/>
      <c r="G628" s="93"/>
      <c r="J628" s="93"/>
    </row>
    <row r="629" ht="19.5" customHeight="1" spans="4:10">
      <c r="D629" s="93"/>
      <c r="G629" s="93"/>
      <c r="J629" s="93"/>
    </row>
    <row r="630" ht="19.5" customHeight="1" spans="4:10">
      <c r="D630" s="93"/>
      <c r="G630" s="93"/>
      <c r="J630" s="93"/>
    </row>
    <row r="631" ht="19.5" customHeight="1" spans="4:10">
      <c r="D631" s="93"/>
      <c r="G631" s="93"/>
      <c r="J631" s="93"/>
    </row>
    <row r="632" ht="19.5" customHeight="1" spans="4:10">
      <c r="D632" s="93"/>
      <c r="G632" s="93"/>
      <c r="J632" s="93"/>
    </row>
    <row r="633" ht="19.5" customHeight="1" spans="4:10">
      <c r="D633" s="93"/>
      <c r="G633" s="93"/>
      <c r="J633" s="93"/>
    </row>
    <row r="634" ht="19.5" customHeight="1" spans="4:10">
      <c r="D634" s="93"/>
      <c r="G634" s="93"/>
      <c r="J634" s="93"/>
    </row>
    <row r="635" ht="19.5" customHeight="1" spans="4:10">
      <c r="D635" s="93"/>
      <c r="G635" s="93"/>
      <c r="J635" s="93"/>
    </row>
    <row r="636" ht="19.5" customHeight="1" spans="4:10">
      <c r="D636" s="93"/>
      <c r="G636" s="93"/>
      <c r="J636" s="93"/>
    </row>
    <row r="637" ht="19.5" customHeight="1" spans="4:10">
      <c r="D637" s="93"/>
      <c r="G637" s="93"/>
      <c r="J637" s="93"/>
    </row>
    <row r="638" ht="19.5" customHeight="1" spans="4:10">
      <c r="D638" s="93"/>
      <c r="G638" s="93"/>
      <c r="J638" s="93"/>
    </row>
    <row r="639" ht="19.5" customHeight="1" spans="4:10">
      <c r="D639" s="93"/>
      <c r="G639" s="93"/>
      <c r="J639" s="93"/>
    </row>
    <row r="640" ht="19.5" customHeight="1" spans="4:10">
      <c r="D640" s="93"/>
      <c r="G640" s="93"/>
      <c r="J640" s="93"/>
    </row>
    <row r="641" ht="19.5" customHeight="1" spans="4:10">
      <c r="D641" s="93"/>
      <c r="G641" s="93"/>
      <c r="J641" s="93"/>
    </row>
    <row r="642" ht="19.5" customHeight="1" spans="4:10">
      <c r="D642" s="93"/>
      <c r="G642" s="93"/>
      <c r="J642" s="93"/>
    </row>
    <row r="643" ht="19.5" customHeight="1" spans="4:10">
      <c r="D643" s="93"/>
      <c r="G643" s="93"/>
      <c r="J643" s="93"/>
    </row>
    <row r="644" ht="19.5" customHeight="1" spans="4:10">
      <c r="D644" s="93"/>
      <c r="G644" s="93"/>
      <c r="J644" s="93"/>
    </row>
    <row r="645" ht="19.5" customHeight="1" spans="4:10">
      <c r="D645" s="93"/>
      <c r="G645" s="93"/>
      <c r="J645" s="93"/>
    </row>
    <row r="646" ht="19.5" customHeight="1" spans="4:10">
      <c r="D646" s="93"/>
      <c r="G646" s="93"/>
      <c r="J646" s="93"/>
    </row>
    <row r="647" ht="19.5" customHeight="1" spans="4:10">
      <c r="D647" s="93"/>
      <c r="G647" s="93"/>
      <c r="J647" s="93"/>
    </row>
    <row r="648" ht="19.5" customHeight="1" spans="4:10">
      <c r="D648" s="93"/>
      <c r="G648" s="93"/>
      <c r="J648" s="93"/>
    </row>
    <row r="649" ht="19.5" customHeight="1" spans="4:10">
      <c r="D649" s="93"/>
      <c r="G649" s="93"/>
      <c r="J649" s="93"/>
    </row>
    <row r="650" ht="19.5" customHeight="1" spans="4:10">
      <c r="D650" s="93"/>
      <c r="G650" s="93"/>
      <c r="J650" s="93"/>
    </row>
    <row r="651" ht="19.5" customHeight="1" spans="4:10">
      <c r="D651" s="93"/>
      <c r="G651" s="93"/>
      <c r="J651" s="93"/>
    </row>
    <row r="652" ht="19.5" customHeight="1" spans="4:10">
      <c r="D652" s="93"/>
      <c r="G652" s="93"/>
      <c r="J652" s="93"/>
    </row>
    <row r="653" ht="19.5" customHeight="1" spans="4:10">
      <c r="D653" s="93"/>
      <c r="G653" s="93"/>
      <c r="J653" s="93"/>
    </row>
    <row r="654" ht="19.5" customHeight="1" spans="4:10">
      <c r="D654" s="93"/>
      <c r="G654" s="93"/>
      <c r="J654" s="93"/>
    </row>
    <row r="655" ht="19.5" customHeight="1" spans="4:10">
      <c r="D655" s="93"/>
      <c r="G655" s="93"/>
      <c r="J655" s="93"/>
    </row>
    <row r="656" ht="19.5" customHeight="1" spans="4:10">
      <c r="D656" s="93"/>
      <c r="G656" s="93"/>
      <c r="J656" s="93"/>
    </row>
    <row r="657" ht="19.5" customHeight="1" spans="4:10">
      <c r="D657" s="93"/>
      <c r="G657" s="93"/>
      <c r="J657" s="93"/>
    </row>
    <row r="658" ht="19.5" customHeight="1" spans="4:10">
      <c r="D658" s="93"/>
      <c r="G658" s="93"/>
      <c r="J658" s="93"/>
    </row>
    <row r="659" ht="19.5" customHeight="1" spans="4:10">
      <c r="D659" s="93"/>
      <c r="G659" s="93"/>
      <c r="J659" s="93"/>
    </row>
    <row r="660" ht="19.5" customHeight="1" spans="4:10">
      <c r="D660" s="93"/>
      <c r="G660" s="93"/>
      <c r="J660" s="93"/>
    </row>
    <row r="661" ht="19.5" customHeight="1" spans="4:10">
      <c r="D661" s="93"/>
      <c r="G661" s="93"/>
      <c r="J661" s="93"/>
    </row>
    <row r="662" ht="19.5" customHeight="1" spans="4:10">
      <c r="D662" s="93"/>
      <c r="G662" s="93"/>
      <c r="J662" s="93"/>
    </row>
    <row r="663" ht="19.5" customHeight="1" spans="4:10">
      <c r="D663" s="93"/>
      <c r="G663" s="93"/>
      <c r="J663" s="93"/>
    </row>
    <row r="664" ht="19.5" customHeight="1" spans="4:10">
      <c r="D664" s="93"/>
      <c r="G664" s="93"/>
      <c r="J664" s="93"/>
    </row>
    <row r="665" ht="19.5" customHeight="1" spans="4:10">
      <c r="D665" s="93"/>
      <c r="G665" s="93"/>
      <c r="J665" s="93"/>
    </row>
    <row r="666" ht="19.5" customHeight="1" spans="4:10">
      <c r="D666" s="93"/>
      <c r="G666" s="93"/>
      <c r="J666" s="93"/>
    </row>
    <row r="667" ht="19.5" customHeight="1" spans="4:10">
      <c r="D667" s="93"/>
      <c r="G667" s="93"/>
      <c r="J667" s="93"/>
    </row>
    <row r="668" ht="19.5" customHeight="1" spans="4:10">
      <c r="D668" s="93"/>
      <c r="G668" s="93"/>
      <c r="J668" s="93"/>
    </row>
    <row r="669" ht="19.5" customHeight="1" spans="4:10">
      <c r="D669" s="93"/>
      <c r="G669" s="93"/>
      <c r="J669" s="93"/>
    </row>
    <row r="670" ht="19.5" customHeight="1" spans="4:10">
      <c r="D670" s="93"/>
      <c r="G670" s="93"/>
      <c r="J670" s="93"/>
    </row>
    <row r="671" ht="19.5" customHeight="1" spans="4:10">
      <c r="D671" s="93"/>
      <c r="G671" s="93"/>
      <c r="J671" s="93"/>
    </row>
    <row r="672" ht="19.5" customHeight="1" spans="4:10">
      <c r="D672" s="93"/>
      <c r="G672" s="93"/>
      <c r="J672" s="93"/>
    </row>
    <row r="673" ht="19.5" customHeight="1" spans="4:10">
      <c r="D673" s="93"/>
      <c r="G673" s="93"/>
      <c r="J673" s="93"/>
    </row>
    <row r="674" ht="19.5" customHeight="1" spans="4:10">
      <c r="D674" s="93"/>
      <c r="G674" s="93"/>
      <c r="J674" s="93"/>
    </row>
    <row r="675" ht="19.5" customHeight="1" spans="4:10">
      <c r="D675" s="93"/>
      <c r="G675" s="93"/>
      <c r="J675" s="93"/>
    </row>
    <row r="676" ht="19.5" customHeight="1" spans="4:10">
      <c r="D676" s="93"/>
      <c r="G676" s="93"/>
      <c r="J676" s="93"/>
    </row>
    <row r="677" ht="19.5" customHeight="1" spans="4:10">
      <c r="D677" s="93"/>
      <c r="G677" s="93"/>
      <c r="J677" s="93"/>
    </row>
    <row r="678" ht="19.5" customHeight="1" spans="4:10">
      <c r="D678" s="93"/>
      <c r="G678" s="93"/>
      <c r="J678" s="93"/>
    </row>
    <row r="679" ht="19.5" customHeight="1" spans="4:10">
      <c r="D679" s="93"/>
      <c r="G679" s="93"/>
      <c r="J679" s="93"/>
    </row>
    <row r="680" ht="19.5" customHeight="1" spans="4:10">
      <c r="D680" s="93"/>
      <c r="G680" s="93"/>
      <c r="J680" s="93"/>
    </row>
    <row r="681" ht="19.5" customHeight="1" spans="4:10">
      <c r="D681" s="93"/>
      <c r="G681" s="93"/>
      <c r="J681" s="93"/>
    </row>
    <row r="682" ht="19.5" customHeight="1" spans="4:10">
      <c r="D682" s="93"/>
      <c r="G682" s="93"/>
      <c r="J682" s="93"/>
    </row>
    <row r="683" ht="19.5" customHeight="1" spans="4:10">
      <c r="D683" s="93"/>
      <c r="G683" s="93"/>
      <c r="J683" s="93"/>
    </row>
    <row r="684" ht="19.5" customHeight="1" spans="4:10">
      <c r="D684" s="93"/>
      <c r="G684" s="93"/>
      <c r="J684" s="93"/>
    </row>
    <row r="685" ht="19.5" customHeight="1" spans="4:10">
      <c r="D685" s="93"/>
      <c r="G685" s="93"/>
      <c r="J685" s="93"/>
    </row>
    <row r="686" ht="19.5" customHeight="1" spans="4:10">
      <c r="D686" s="93"/>
      <c r="G686" s="93"/>
      <c r="J686" s="93"/>
    </row>
    <row r="687" ht="19.5" customHeight="1" spans="4:10">
      <c r="D687" s="93"/>
      <c r="G687" s="93"/>
      <c r="J687" s="93"/>
    </row>
    <row r="688" ht="19.5" customHeight="1" spans="4:10">
      <c r="D688" s="93"/>
      <c r="G688" s="93"/>
      <c r="J688" s="93"/>
    </row>
    <row r="689" ht="19.5" customHeight="1" spans="4:10">
      <c r="D689" s="93"/>
      <c r="G689" s="93"/>
      <c r="J689" s="93"/>
    </row>
    <row r="690" ht="19.5" customHeight="1" spans="4:10">
      <c r="D690" s="93"/>
      <c r="G690" s="93"/>
      <c r="J690" s="93"/>
    </row>
    <row r="691" ht="19.5" customHeight="1" spans="4:10">
      <c r="D691" s="93"/>
      <c r="G691" s="93"/>
      <c r="J691" s="93"/>
    </row>
    <row r="692" ht="19.5" customHeight="1" spans="4:10">
      <c r="D692" s="93"/>
      <c r="G692" s="93"/>
      <c r="J692" s="93"/>
    </row>
    <row r="693" ht="19.5" customHeight="1" spans="4:10">
      <c r="D693" s="93"/>
      <c r="G693" s="93"/>
      <c r="J693" s="93"/>
    </row>
    <row r="694" ht="19.5" customHeight="1" spans="4:10">
      <c r="D694" s="93"/>
      <c r="G694" s="93"/>
      <c r="J694" s="93"/>
    </row>
    <row r="695" ht="19.5" customHeight="1" spans="4:10">
      <c r="D695" s="93"/>
      <c r="G695" s="93"/>
      <c r="J695" s="93"/>
    </row>
    <row r="696" ht="19.5" customHeight="1" spans="4:10">
      <c r="D696" s="93"/>
      <c r="G696" s="93"/>
      <c r="J696" s="93"/>
    </row>
    <row r="697" ht="19.5" customHeight="1" spans="4:10">
      <c r="D697" s="93"/>
      <c r="G697" s="93"/>
      <c r="J697" s="93"/>
    </row>
    <row r="698" ht="19.5" customHeight="1" spans="4:10">
      <c r="D698" s="93"/>
      <c r="G698" s="93"/>
      <c r="J698" s="93"/>
    </row>
    <row r="699" ht="19.5" customHeight="1" spans="4:10">
      <c r="D699" s="93"/>
      <c r="G699" s="93"/>
      <c r="J699" s="93"/>
    </row>
    <row r="700" ht="19.5" customHeight="1" spans="4:10">
      <c r="D700" s="93"/>
      <c r="G700" s="93"/>
      <c r="J700" s="93"/>
    </row>
    <row r="701" ht="19.5" customHeight="1" spans="4:10">
      <c r="D701" s="93"/>
      <c r="G701" s="93"/>
      <c r="J701" s="93"/>
    </row>
    <row r="702" ht="19.5" customHeight="1" spans="4:10">
      <c r="D702" s="93"/>
      <c r="G702" s="93"/>
      <c r="J702" s="93"/>
    </row>
    <row r="703" ht="19.5" customHeight="1" spans="4:10">
      <c r="D703" s="93"/>
      <c r="G703" s="93"/>
      <c r="J703" s="93"/>
    </row>
    <row r="704" ht="19.5" customHeight="1" spans="4:10">
      <c r="D704" s="93"/>
      <c r="G704" s="93"/>
      <c r="J704" s="93"/>
    </row>
    <row r="705" ht="19.5" customHeight="1" spans="4:10">
      <c r="D705" s="93"/>
      <c r="G705" s="93"/>
      <c r="J705" s="93"/>
    </row>
    <row r="706" ht="19.5" customHeight="1" spans="4:10">
      <c r="D706" s="93"/>
      <c r="G706" s="93"/>
      <c r="J706" s="93"/>
    </row>
    <row r="707" ht="19.5" customHeight="1" spans="4:10">
      <c r="D707" s="93"/>
      <c r="G707" s="93"/>
      <c r="J707" s="93"/>
    </row>
    <row r="708" ht="19.5" customHeight="1" spans="4:10">
      <c r="D708" s="93"/>
      <c r="G708" s="93"/>
      <c r="J708" s="93"/>
    </row>
    <row r="709" ht="19.5" customHeight="1" spans="4:10">
      <c r="D709" s="93"/>
      <c r="G709" s="93"/>
      <c r="J709" s="93"/>
    </row>
    <row r="710" ht="19.5" customHeight="1" spans="4:10">
      <c r="D710" s="93"/>
      <c r="G710" s="93"/>
      <c r="J710" s="93"/>
    </row>
    <row r="711" ht="19.5" customHeight="1" spans="4:10">
      <c r="D711" s="93"/>
      <c r="G711" s="93"/>
      <c r="J711" s="93"/>
    </row>
    <row r="712" ht="19.5" customHeight="1" spans="4:10">
      <c r="D712" s="93"/>
      <c r="G712" s="93"/>
      <c r="J712" s="93"/>
    </row>
    <row r="713" ht="19.5" customHeight="1" spans="4:10">
      <c r="D713" s="93"/>
      <c r="G713" s="93"/>
      <c r="J713" s="93"/>
    </row>
    <row r="714" ht="19.5" customHeight="1" spans="4:10">
      <c r="D714" s="93"/>
      <c r="G714" s="93"/>
      <c r="J714" s="93"/>
    </row>
    <row r="715" ht="19.5" customHeight="1" spans="4:10">
      <c r="D715" s="93"/>
      <c r="G715" s="93"/>
      <c r="J715" s="93"/>
    </row>
    <row r="716" ht="19.5" customHeight="1" spans="4:10">
      <c r="D716" s="93"/>
      <c r="G716" s="93"/>
      <c r="J716" s="93"/>
    </row>
    <row r="717" ht="19.5" customHeight="1" spans="4:10">
      <c r="D717" s="93"/>
      <c r="G717" s="93"/>
      <c r="J717" s="93"/>
    </row>
    <row r="718" ht="19.5" customHeight="1" spans="4:10">
      <c r="D718" s="93"/>
      <c r="G718" s="93"/>
      <c r="J718" s="93"/>
    </row>
    <row r="719" ht="19.5" customHeight="1" spans="4:10">
      <c r="D719" s="93"/>
      <c r="G719" s="93"/>
      <c r="J719" s="93"/>
    </row>
    <row r="720" ht="19.5" customHeight="1" spans="4:10">
      <c r="D720" s="93"/>
      <c r="G720" s="93"/>
      <c r="J720" s="93"/>
    </row>
    <row r="721" ht="19.5" customHeight="1" spans="4:10">
      <c r="D721" s="93"/>
      <c r="G721" s="93"/>
      <c r="J721" s="93"/>
    </row>
    <row r="722" ht="19.5" customHeight="1" spans="4:10">
      <c r="D722" s="93"/>
      <c r="G722" s="93"/>
      <c r="J722" s="93"/>
    </row>
    <row r="723" ht="19.5" customHeight="1" spans="4:10">
      <c r="D723" s="93"/>
      <c r="G723" s="93"/>
      <c r="J723" s="93"/>
    </row>
    <row r="724" ht="19.5" customHeight="1" spans="4:10">
      <c r="D724" s="93"/>
      <c r="G724" s="93"/>
      <c r="J724" s="93"/>
    </row>
    <row r="725" ht="19.5" customHeight="1" spans="4:10">
      <c r="D725" s="93"/>
      <c r="G725" s="93"/>
      <c r="J725" s="93"/>
    </row>
    <row r="726" ht="19.5" customHeight="1" spans="4:10">
      <c r="D726" s="93"/>
      <c r="G726" s="93"/>
      <c r="J726" s="93"/>
    </row>
    <row r="727" ht="19.5" customHeight="1" spans="4:10">
      <c r="D727" s="93"/>
      <c r="G727" s="93"/>
      <c r="J727" s="93"/>
    </row>
    <row r="728" ht="19.5" customHeight="1" spans="4:10">
      <c r="D728" s="93"/>
      <c r="G728" s="93"/>
      <c r="J728" s="93"/>
    </row>
    <row r="729" ht="19.5" customHeight="1" spans="4:10">
      <c r="D729" s="93"/>
      <c r="G729" s="93"/>
      <c r="J729" s="93"/>
    </row>
    <row r="730" ht="19.5" customHeight="1" spans="4:10">
      <c r="D730" s="93"/>
      <c r="G730" s="93"/>
      <c r="J730" s="93"/>
    </row>
    <row r="731" ht="19.5" customHeight="1" spans="4:10">
      <c r="D731" s="93"/>
      <c r="G731" s="93"/>
      <c r="J731" s="93"/>
    </row>
    <row r="732" ht="19.5" customHeight="1" spans="4:10">
      <c r="D732" s="93"/>
      <c r="G732" s="93"/>
      <c r="J732" s="93"/>
    </row>
    <row r="733" ht="19.5" customHeight="1" spans="4:10">
      <c r="D733" s="93"/>
      <c r="G733" s="93"/>
      <c r="J733" s="93"/>
    </row>
    <row r="734" ht="19.5" customHeight="1" spans="4:10">
      <c r="D734" s="93"/>
      <c r="G734" s="93"/>
      <c r="J734" s="93"/>
    </row>
    <row r="735" ht="19.5" customHeight="1" spans="4:10">
      <c r="D735" s="93"/>
      <c r="G735" s="93"/>
      <c r="J735" s="93"/>
    </row>
    <row r="736" ht="19.5" customHeight="1" spans="4:10">
      <c r="D736" s="93"/>
      <c r="G736" s="93"/>
      <c r="J736" s="93"/>
    </row>
    <row r="737" ht="19.5" customHeight="1" spans="4:10">
      <c r="D737" s="93"/>
      <c r="G737" s="93"/>
      <c r="J737" s="93"/>
    </row>
    <row r="738" ht="19.5" customHeight="1" spans="4:10">
      <c r="D738" s="93"/>
      <c r="G738" s="93"/>
      <c r="J738" s="93"/>
    </row>
    <row r="739" ht="19.5" customHeight="1" spans="4:10">
      <c r="D739" s="93"/>
      <c r="G739" s="93"/>
      <c r="J739" s="93"/>
    </row>
    <row r="740" ht="19.5" customHeight="1" spans="4:10">
      <c r="D740" s="93"/>
      <c r="G740" s="93"/>
      <c r="J740" s="93"/>
    </row>
    <row r="741" ht="19.5" customHeight="1" spans="4:10">
      <c r="D741" s="93"/>
      <c r="G741" s="93"/>
      <c r="J741" s="93"/>
    </row>
    <row r="742" ht="19.5" customHeight="1" spans="4:10">
      <c r="D742" s="93"/>
      <c r="G742" s="93"/>
      <c r="J742" s="93"/>
    </row>
    <row r="743" ht="19.5" customHeight="1" spans="4:10">
      <c r="D743" s="93"/>
      <c r="G743" s="93"/>
      <c r="J743" s="93"/>
    </row>
    <row r="744" ht="19.5" customHeight="1" spans="4:10">
      <c r="D744" s="93"/>
      <c r="G744" s="93"/>
      <c r="J744" s="93"/>
    </row>
    <row r="745" ht="19.5" customHeight="1" spans="4:10">
      <c r="D745" s="93"/>
      <c r="G745" s="93"/>
      <c r="J745" s="93"/>
    </row>
    <row r="746" ht="19.5" customHeight="1" spans="4:10">
      <c r="D746" s="93"/>
      <c r="G746" s="93"/>
      <c r="J746" s="93"/>
    </row>
    <row r="747" ht="19.5" customHeight="1" spans="4:10">
      <c r="D747" s="93"/>
      <c r="G747" s="93"/>
      <c r="J747" s="93"/>
    </row>
    <row r="748" ht="19.5" customHeight="1" spans="4:10">
      <c r="D748" s="93"/>
      <c r="G748" s="93"/>
      <c r="J748" s="93"/>
    </row>
    <row r="749" ht="19.5" customHeight="1" spans="4:10">
      <c r="D749" s="93"/>
      <c r="G749" s="93"/>
      <c r="J749" s="93"/>
    </row>
    <row r="750" ht="19.5" customHeight="1" spans="4:10">
      <c r="D750" s="93"/>
      <c r="G750" s="93"/>
      <c r="J750" s="93"/>
    </row>
    <row r="751" ht="19.5" customHeight="1" spans="4:10">
      <c r="D751" s="93"/>
      <c r="G751" s="93"/>
      <c r="J751" s="93"/>
    </row>
    <row r="752" ht="19.5" customHeight="1" spans="4:10">
      <c r="D752" s="93"/>
      <c r="G752" s="93"/>
      <c r="J752" s="93"/>
    </row>
    <row r="753" ht="19.5" customHeight="1" spans="4:10">
      <c r="D753" s="93"/>
      <c r="G753" s="93"/>
      <c r="J753" s="93"/>
    </row>
    <row r="754" ht="19.5" customHeight="1" spans="4:10">
      <c r="D754" s="93"/>
      <c r="G754" s="93"/>
      <c r="J754" s="93"/>
    </row>
    <row r="755" ht="19.5" customHeight="1" spans="4:10">
      <c r="D755" s="93"/>
      <c r="G755" s="93"/>
      <c r="J755" s="93"/>
    </row>
    <row r="756" ht="19.5" customHeight="1" spans="4:10">
      <c r="D756" s="93"/>
      <c r="G756" s="93"/>
      <c r="J756" s="93"/>
    </row>
    <row r="757" ht="19.5" customHeight="1" spans="4:10">
      <c r="D757" s="93"/>
      <c r="G757" s="93"/>
      <c r="J757" s="93"/>
    </row>
    <row r="758" ht="19.5" customHeight="1" spans="4:10">
      <c r="D758" s="93"/>
      <c r="G758" s="93"/>
      <c r="J758" s="93"/>
    </row>
    <row r="759" ht="19.5" customHeight="1" spans="4:10">
      <c r="D759" s="93"/>
      <c r="G759" s="93"/>
      <c r="J759" s="93"/>
    </row>
    <row r="760" ht="19.5" customHeight="1" spans="4:10">
      <c r="D760" s="93"/>
      <c r="G760" s="93"/>
      <c r="J760" s="93"/>
    </row>
    <row r="761" ht="19.5" customHeight="1" spans="4:10">
      <c r="D761" s="93"/>
      <c r="G761" s="93"/>
      <c r="J761" s="93"/>
    </row>
    <row r="762" ht="19.5" customHeight="1" spans="4:10">
      <c r="D762" s="93"/>
      <c r="G762" s="93"/>
      <c r="J762" s="93"/>
    </row>
    <row r="763" ht="19.5" customHeight="1" spans="4:10">
      <c r="D763" s="93"/>
      <c r="G763" s="93"/>
      <c r="J763" s="93"/>
    </row>
    <row r="764" ht="19.5" customHeight="1" spans="4:10">
      <c r="D764" s="93"/>
      <c r="G764" s="93"/>
      <c r="J764" s="93"/>
    </row>
    <row r="765" ht="19.5" customHeight="1" spans="4:10">
      <c r="D765" s="93"/>
      <c r="G765" s="93"/>
      <c r="J765" s="93"/>
    </row>
    <row r="766" ht="19.5" customHeight="1" spans="4:10">
      <c r="D766" s="93"/>
      <c r="G766" s="93"/>
      <c r="J766" s="93"/>
    </row>
    <row r="767" ht="19.5" customHeight="1" spans="4:10">
      <c r="D767" s="93"/>
      <c r="G767" s="93"/>
      <c r="J767" s="93"/>
    </row>
    <row r="768" ht="19.5" customHeight="1" spans="4:10">
      <c r="D768" s="93"/>
      <c r="G768" s="93"/>
      <c r="J768" s="93"/>
    </row>
    <row r="769" ht="19.5" customHeight="1" spans="4:10">
      <c r="D769" s="93"/>
      <c r="G769" s="93"/>
      <c r="J769" s="93"/>
    </row>
    <row r="770" ht="19.5" customHeight="1" spans="4:10">
      <c r="D770" s="93"/>
      <c r="G770" s="93"/>
      <c r="J770" s="93"/>
    </row>
    <row r="771" ht="19.5" customHeight="1" spans="4:10">
      <c r="D771" s="93"/>
      <c r="G771" s="93"/>
      <c r="J771" s="93"/>
    </row>
    <row r="772" ht="19.5" customHeight="1" spans="4:10">
      <c r="D772" s="93"/>
      <c r="G772" s="93"/>
      <c r="J772" s="93"/>
    </row>
    <row r="773" ht="19.5" customHeight="1" spans="4:10">
      <c r="D773" s="93"/>
      <c r="G773" s="93"/>
      <c r="J773" s="93"/>
    </row>
    <row r="774" ht="19.5" customHeight="1" spans="4:10">
      <c r="D774" s="93"/>
      <c r="G774" s="93"/>
      <c r="J774" s="93"/>
    </row>
    <row r="775" ht="19.5" customHeight="1" spans="4:10">
      <c r="D775" s="93"/>
      <c r="G775" s="93"/>
      <c r="J775" s="93"/>
    </row>
    <row r="776" ht="19.5" customHeight="1" spans="4:10">
      <c r="D776" s="93"/>
      <c r="G776" s="93"/>
      <c r="J776" s="93"/>
    </row>
    <row r="777" ht="19.5" customHeight="1" spans="4:10">
      <c r="D777" s="93"/>
      <c r="G777" s="93"/>
      <c r="J777" s="93"/>
    </row>
    <row r="778" ht="19.5" customHeight="1" spans="4:10">
      <c r="D778" s="93"/>
      <c r="G778" s="93"/>
      <c r="J778" s="93"/>
    </row>
    <row r="779" ht="19.5" customHeight="1" spans="4:10">
      <c r="D779" s="93"/>
      <c r="G779" s="93"/>
      <c r="J779" s="93"/>
    </row>
    <row r="780" ht="19.5" customHeight="1" spans="4:10">
      <c r="D780" s="93"/>
      <c r="G780" s="93"/>
      <c r="J780" s="93"/>
    </row>
    <row r="781" ht="19.5" customHeight="1" spans="4:10">
      <c r="D781" s="93"/>
      <c r="G781" s="93"/>
      <c r="J781" s="93"/>
    </row>
    <row r="782" ht="19.5" customHeight="1" spans="4:10">
      <c r="D782" s="93"/>
      <c r="G782" s="93"/>
      <c r="J782" s="93"/>
    </row>
    <row r="783" ht="19.5" customHeight="1" spans="4:10">
      <c r="D783" s="93"/>
      <c r="G783" s="93"/>
      <c r="J783" s="93"/>
    </row>
    <row r="784" ht="19.5" customHeight="1" spans="4:10">
      <c r="D784" s="93"/>
      <c r="G784" s="93"/>
      <c r="J784" s="93"/>
    </row>
    <row r="785" ht="19.5" customHeight="1" spans="4:10">
      <c r="D785" s="93"/>
      <c r="G785" s="93"/>
      <c r="J785" s="93"/>
    </row>
    <row r="786" ht="19.5" customHeight="1" spans="4:10">
      <c r="D786" s="93"/>
      <c r="G786" s="93"/>
      <c r="J786" s="93"/>
    </row>
    <row r="787" ht="19.5" customHeight="1" spans="4:10">
      <c r="D787" s="93"/>
      <c r="G787" s="93"/>
      <c r="J787" s="93"/>
    </row>
    <row r="788" ht="19.5" customHeight="1" spans="4:10">
      <c r="D788" s="93"/>
      <c r="G788" s="93"/>
      <c r="J788" s="93"/>
    </row>
    <row r="789" ht="19.5" customHeight="1" spans="4:10">
      <c r="D789" s="93"/>
      <c r="G789" s="93"/>
      <c r="J789" s="93"/>
    </row>
    <row r="790" ht="19.5" customHeight="1" spans="4:10">
      <c r="D790" s="93"/>
      <c r="G790" s="93"/>
      <c r="J790" s="93"/>
    </row>
    <row r="791" ht="19.5" customHeight="1" spans="4:10">
      <c r="D791" s="93"/>
      <c r="G791" s="93"/>
      <c r="J791" s="93"/>
    </row>
    <row r="792" ht="19.5" customHeight="1" spans="4:10">
      <c r="D792" s="93"/>
      <c r="G792" s="93"/>
      <c r="J792" s="93"/>
    </row>
    <row r="793" ht="19.5" customHeight="1" spans="4:10">
      <c r="D793" s="93"/>
      <c r="G793" s="93"/>
      <c r="J793" s="93"/>
    </row>
    <row r="794" ht="19.5" customHeight="1" spans="4:10">
      <c r="D794" s="93"/>
      <c r="G794" s="93"/>
      <c r="J794" s="93"/>
    </row>
    <row r="795" ht="19.5" customHeight="1" spans="4:10">
      <c r="D795" s="93"/>
      <c r="G795" s="93"/>
      <c r="J795" s="93"/>
    </row>
    <row r="796" ht="19.5" customHeight="1" spans="4:10">
      <c r="D796" s="93"/>
      <c r="G796" s="93"/>
      <c r="J796" s="93"/>
    </row>
    <row r="797" ht="19.5" customHeight="1" spans="4:10">
      <c r="D797" s="93"/>
      <c r="G797" s="93"/>
      <c r="J797" s="93"/>
    </row>
    <row r="798" ht="19.5" customHeight="1" spans="4:10">
      <c r="D798" s="93"/>
      <c r="G798" s="93"/>
      <c r="J798" s="93"/>
    </row>
    <row r="799" ht="19.5" customHeight="1" spans="4:10">
      <c r="D799" s="93"/>
      <c r="G799" s="93"/>
      <c r="J799" s="93"/>
    </row>
    <row r="800" ht="19.5" customHeight="1" spans="4:10">
      <c r="D800" s="93"/>
      <c r="G800" s="93"/>
      <c r="J800" s="93"/>
    </row>
    <row r="801" ht="19.5" customHeight="1" spans="4:10">
      <c r="D801" s="93"/>
      <c r="G801" s="93"/>
      <c r="J801" s="93"/>
    </row>
    <row r="802" ht="19.5" customHeight="1" spans="4:10">
      <c r="D802" s="93"/>
      <c r="G802" s="93"/>
      <c r="J802" s="93"/>
    </row>
    <row r="803" ht="19.5" customHeight="1" spans="4:10">
      <c r="D803" s="93"/>
      <c r="G803" s="93"/>
      <c r="J803" s="93"/>
    </row>
    <row r="804" ht="19.5" customHeight="1" spans="4:10">
      <c r="D804" s="93"/>
      <c r="G804" s="93"/>
      <c r="J804" s="93"/>
    </row>
    <row r="805" ht="19.5" customHeight="1" spans="4:10">
      <c r="D805" s="93"/>
      <c r="G805" s="93"/>
      <c r="J805" s="93"/>
    </row>
    <row r="806" ht="19.5" customHeight="1" spans="4:10">
      <c r="D806" s="93"/>
      <c r="G806" s="93"/>
      <c r="J806" s="93"/>
    </row>
    <row r="807" ht="19.5" customHeight="1" spans="4:10">
      <c r="D807" s="93"/>
      <c r="G807" s="93"/>
      <c r="J807" s="93"/>
    </row>
    <row r="808" ht="19.5" customHeight="1" spans="4:10">
      <c r="D808" s="93"/>
      <c r="G808" s="93"/>
      <c r="J808" s="93"/>
    </row>
    <row r="809" ht="19.5" customHeight="1" spans="4:10">
      <c r="D809" s="93"/>
      <c r="G809" s="93"/>
      <c r="J809" s="93"/>
    </row>
    <row r="810" ht="19.5" customHeight="1" spans="4:10">
      <c r="D810" s="93"/>
      <c r="G810" s="93"/>
      <c r="J810" s="93"/>
    </row>
    <row r="811" ht="19.5" customHeight="1" spans="4:10">
      <c r="D811" s="93"/>
      <c r="G811" s="93"/>
      <c r="J811" s="93"/>
    </row>
    <row r="812" ht="19.5" customHeight="1" spans="4:10">
      <c r="D812" s="93"/>
      <c r="G812" s="93"/>
      <c r="J812" s="93"/>
    </row>
    <row r="813" ht="19.5" customHeight="1" spans="4:10">
      <c r="D813" s="93"/>
      <c r="G813" s="93"/>
      <c r="J813" s="93"/>
    </row>
    <row r="814" ht="19.5" customHeight="1" spans="4:10">
      <c r="D814" s="93"/>
      <c r="G814" s="93"/>
      <c r="J814" s="93"/>
    </row>
    <row r="815" ht="19.5" customHeight="1" spans="4:10">
      <c r="D815" s="93"/>
      <c r="G815" s="93"/>
      <c r="J815" s="93"/>
    </row>
    <row r="816" ht="19.5" customHeight="1" spans="4:10">
      <c r="D816" s="93"/>
      <c r="G816" s="93"/>
      <c r="J816" s="93"/>
    </row>
    <row r="817" ht="19.5" customHeight="1" spans="4:10">
      <c r="D817" s="93"/>
      <c r="G817" s="93"/>
      <c r="J817" s="93"/>
    </row>
    <row r="818" ht="19.5" customHeight="1" spans="4:10">
      <c r="D818" s="93"/>
      <c r="G818" s="93"/>
      <c r="J818" s="93"/>
    </row>
    <row r="819" ht="19.5" customHeight="1" spans="4:10">
      <c r="D819" s="93"/>
      <c r="G819" s="93"/>
      <c r="J819" s="93"/>
    </row>
    <row r="820" ht="19.5" customHeight="1" spans="4:10">
      <c r="D820" s="93"/>
      <c r="G820" s="93"/>
      <c r="J820" s="93"/>
    </row>
    <row r="821" ht="19.5" customHeight="1" spans="4:10">
      <c r="D821" s="93"/>
      <c r="G821" s="93"/>
      <c r="J821" s="93"/>
    </row>
    <row r="822" ht="19.5" customHeight="1" spans="4:10">
      <c r="D822" s="93"/>
      <c r="G822" s="93"/>
      <c r="J822" s="93"/>
    </row>
    <row r="823" ht="19.5" customHeight="1" spans="4:10">
      <c r="D823" s="93"/>
      <c r="G823" s="93"/>
      <c r="J823" s="93"/>
    </row>
    <row r="824" ht="19.5" customHeight="1" spans="4:10">
      <c r="D824" s="93"/>
      <c r="G824" s="93"/>
      <c r="J824" s="93"/>
    </row>
    <row r="825" ht="19.5" customHeight="1" spans="4:10">
      <c r="D825" s="93"/>
      <c r="G825" s="93"/>
      <c r="J825" s="93"/>
    </row>
    <row r="826" ht="19.5" customHeight="1" spans="4:10">
      <c r="D826" s="93"/>
      <c r="G826" s="93"/>
      <c r="J826" s="93"/>
    </row>
    <row r="827" ht="19.5" customHeight="1" spans="4:10">
      <c r="D827" s="93"/>
      <c r="G827" s="93"/>
      <c r="J827" s="93"/>
    </row>
    <row r="828" ht="19.5" customHeight="1" spans="4:10">
      <c r="D828" s="93"/>
      <c r="G828" s="93"/>
      <c r="J828" s="93"/>
    </row>
    <row r="829" ht="19.5" customHeight="1" spans="4:10">
      <c r="D829" s="93"/>
      <c r="G829" s="93"/>
      <c r="J829" s="93"/>
    </row>
    <row r="830" ht="19.5" customHeight="1" spans="4:10">
      <c r="D830" s="93"/>
      <c r="G830" s="93"/>
      <c r="J830" s="93"/>
    </row>
    <row r="831" ht="19.5" customHeight="1" spans="4:10">
      <c r="D831" s="93"/>
      <c r="G831" s="93"/>
      <c r="J831" s="93"/>
    </row>
    <row r="832" ht="19.5" customHeight="1" spans="4:10">
      <c r="D832" s="93"/>
      <c r="G832" s="93"/>
      <c r="J832" s="93"/>
    </row>
    <row r="833" ht="19.5" customHeight="1" spans="4:10">
      <c r="D833" s="93"/>
      <c r="G833" s="93"/>
      <c r="J833" s="93"/>
    </row>
    <row r="834" ht="19.5" customHeight="1" spans="4:10">
      <c r="D834" s="93"/>
      <c r="G834" s="93"/>
      <c r="J834" s="93"/>
    </row>
    <row r="835" ht="19.5" customHeight="1" spans="4:10">
      <c r="D835" s="93"/>
      <c r="G835" s="93"/>
      <c r="J835" s="93"/>
    </row>
    <row r="836" ht="19.5" customHeight="1" spans="4:10">
      <c r="D836" s="93"/>
      <c r="G836" s="93"/>
      <c r="J836" s="93"/>
    </row>
    <row r="837" ht="19.5" customHeight="1" spans="4:10">
      <c r="D837" s="93"/>
      <c r="G837" s="93"/>
      <c r="J837" s="93"/>
    </row>
    <row r="838" ht="19.5" customHeight="1" spans="4:10">
      <c r="D838" s="93"/>
      <c r="G838" s="93"/>
      <c r="J838" s="93"/>
    </row>
    <row r="839" ht="19.5" customHeight="1" spans="4:10">
      <c r="D839" s="93"/>
      <c r="G839" s="93"/>
      <c r="J839" s="93"/>
    </row>
    <row r="840" ht="19.5" customHeight="1" spans="4:10">
      <c r="D840" s="93"/>
      <c r="G840" s="93"/>
      <c r="J840" s="93"/>
    </row>
    <row r="841" ht="19.5" customHeight="1" spans="4:10">
      <c r="D841" s="93"/>
      <c r="G841" s="93"/>
      <c r="J841" s="93"/>
    </row>
    <row r="842" ht="19.5" customHeight="1" spans="4:10">
      <c r="D842" s="93"/>
      <c r="G842" s="93"/>
      <c r="J842" s="93"/>
    </row>
    <row r="843" ht="19.5" customHeight="1" spans="4:10">
      <c r="D843" s="93"/>
      <c r="G843" s="93"/>
      <c r="J843" s="93"/>
    </row>
    <row r="844" ht="19.5" customHeight="1" spans="4:10">
      <c r="D844" s="93"/>
      <c r="G844" s="93"/>
      <c r="J844" s="93"/>
    </row>
    <row r="845" ht="19.5" customHeight="1" spans="4:10">
      <c r="D845" s="93"/>
      <c r="G845" s="93"/>
      <c r="J845" s="93"/>
    </row>
    <row r="846" ht="19.5" customHeight="1" spans="4:10">
      <c r="D846" s="93"/>
      <c r="G846" s="93"/>
      <c r="J846" s="93"/>
    </row>
    <row r="847" ht="19.5" customHeight="1" spans="4:10">
      <c r="D847" s="93"/>
      <c r="G847" s="93"/>
      <c r="J847" s="93"/>
    </row>
    <row r="848" ht="19.5" customHeight="1" spans="4:10">
      <c r="D848" s="93"/>
      <c r="G848" s="93"/>
      <c r="J848" s="93"/>
    </row>
    <row r="849" ht="19.5" customHeight="1" spans="4:10">
      <c r="D849" s="93"/>
      <c r="G849" s="93"/>
      <c r="J849" s="93"/>
    </row>
    <row r="850" ht="19.5" customHeight="1" spans="4:10">
      <c r="D850" s="93"/>
      <c r="G850" s="93"/>
      <c r="J850" s="93"/>
    </row>
    <row r="851" ht="19.5" customHeight="1" spans="4:10">
      <c r="D851" s="93"/>
      <c r="G851" s="93"/>
      <c r="J851" s="93"/>
    </row>
    <row r="852" ht="19.5" customHeight="1" spans="4:10">
      <c r="D852" s="93"/>
      <c r="G852" s="93"/>
      <c r="J852" s="93"/>
    </row>
    <row r="853" ht="19.5" customHeight="1" spans="4:10">
      <c r="D853" s="93"/>
      <c r="G853" s="93"/>
      <c r="J853" s="93"/>
    </row>
    <row r="854" ht="19.5" customHeight="1" spans="4:10">
      <c r="D854" s="93"/>
      <c r="G854" s="93"/>
      <c r="J854" s="93"/>
    </row>
    <row r="855" ht="19.5" customHeight="1" spans="4:10">
      <c r="D855" s="93"/>
      <c r="G855" s="93"/>
      <c r="J855" s="93"/>
    </row>
    <row r="856" ht="19.5" customHeight="1" spans="4:10">
      <c r="D856" s="93"/>
      <c r="G856" s="93"/>
      <c r="J856" s="93"/>
    </row>
    <row r="857" ht="19.5" customHeight="1" spans="4:10">
      <c r="D857" s="93"/>
      <c r="G857" s="93"/>
      <c r="J857" s="93"/>
    </row>
    <row r="858" ht="19.5" customHeight="1" spans="4:10">
      <c r="D858" s="93"/>
      <c r="G858" s="93"/>
      <c r="J858" s="93"/>
    </row>
    <row r="859" ht="19.5" customHeight="1" spans="4:10">
      <c r="D859" s="93"/>
      <c r="G859" s="93"/>
      <c r="J859" s="93"/>
    </row>
    <row r="860" ht="19.5" customHeight="1" spans="4:10">
      <c r="D860" s="93"/>
      <c r="G860" s="93"/>
      <c r="J860" s="93"/>
    </row>
    <row r="861" ht="19.5" customHeight="1" spans="4:10">
      <c r="D861" s="93"/>
      <c r="G861" s="93"/>
      <c r="J861" s="93"/>
    </row>
    <row r="862" ht="19.5" customHeight="1" spans="4:10">
      <c r="D862" s="93"/>
      <c r="G862" s="93"/>
      <c r="J862" s="93"/>
    </row>
    <row r="863" ht="19.5" customHeight="1" spans="4:10">
      <c r="D863" s="93"/>
      <c r="G863" s="93"/>
      <c r="J863" s="93"/>
    </row>
    <row r="864" ht="19.5" customHeight="1" spans="4:10">
      <c r="D864" s="93"/>
      <c r="G864" s="93"/>
      <c r="J864" s="93"/>
    </row>
    <row r="865" ht="19.5" customHeight="1" spans="4:10">
      <c r="D865" s="93"/>
      <c r="G865" s="93"/>
      <c r="J865" s="93"/>
    </row>
    <row r="866" ht="19.5" customHeight="1" spans="4:10">
      <c r="D866" s="93"/>
      <c r="G866" s="93"/>
      <c r="J866" s="93"/>
    </row>
    <row r="867" ht="19.5" customHeight="1" spans="4:10">
      <c r="D867" s="93"/>
      <c r="G867" s="93"/>
      <c r="J867" s="93"/>
    </row>
    <row r="868" ht="19.5" customHeight="1" spans="4:10">
      <c r="D868" s="93"/>
      <c r="G868" s="93"/>
      <c r="J868" s="93"/>
    </row>
    <row r="869" ht="19.5" customHeight="1" spans="4:10">
      <c r="D869" s="93"/>
      <c r="G869" s="93"/>
      <c r="J869" s="93"/>
    </row>
    <row r="870" ht="19.5" customHeight="1" spans="4:10">
      <c r="D870" s="93"/>
      <c r="G870" s="93"/>
      <c r="J870" s="93"/>
    </row>
    <row r="871" ht="19.5" customHeight="1" spans="4:10">
      <c r="D871" s="93"/>
      <c r="G871" s="93"/>
      <c r="J871" s="93"/>
    </row>
    <row r="872" ht="19.5" customHeight="1" spans="4:10">
      <c r="D872" s="93"/>
      <c r="G872" s="93"/>
      <c r="J872" s="93"/>
    </row>
    <row r="873" ht="19.5" customHeight="1" spans="4:10">
      <c r="D873" s="93"/>
      <c r="G873" s="93"/>
      <c r="J873" s="93"/>
    </row>
    <row r="874" ht="19.5" customHeight="1" spans="4:10">
      <c r="D874" s="93"/>
      <c r="G874" s="93"/>
      <c r="J874" s="93"/>
    </row>
    <row r="875" ht="19.5" customHeight="1" spans="4:10">
      <c r="D875" s="93"/>
      <c r="G875" s="93"/>
      <c r="J875" s="93"/>
    </row>
    <row r="876" ht="19.5" customHeight="1" spans="4:10">
      <c r="D876" s="93"/>
      <c r="G876" s="93"/>
      <c r="J876" s="93"/>
    </row>
    <row r="877" ht="19.5" customHeight="1" spans="4:10">
      <c r="D877" s="93"/>
      <c r="G877" s="93"/>
      <c r="J877" s="93"/>
    </row>
    <row r="878" ht="19.5" customHeight="1" spans="4:10">
      <c r="D878" s="93"/>
      <c r="G878" s="93"/>
      <c r="J878" s="93"/>
    </row>
    <row r="879" ht="19.5" customHeight="1" spans="4:10">
      <c r="D879" s="93"/>
      <c r="G879" s="93"/>
      <c r="J879" s="93"/>
    </row>
    <row r="880" ht="19.5" customHeight="1" spans="4:10">
      <c r="D880" s="93"/>
      <c r="G880" s="93"/>
      <c r="J880" s="93"/>
    </row>
    <row r="881" ht="19.5" customHeight="1" spans="4:10">
      <c r="D881" s="93"/>
      <c r="G881" s="93"/>
      <c r="J881" s="93"/>
    </row>
    <row r="882" ht="19.5" customHeight="1" spans="4:10">
      <c r="D882" s="93"/>
      <c r="G882" s="93"/>
      <c r="J882" s="93"/>
    </row>
    <row r="883" ht="19.5" customHeight="1" spans="4:10">
      <c r="D883" s="93"/>
      <c r="G883" s="93"/>
      <c r="J883" s="93"/>
    </row>
    <row r="884" ht="19.5" customHeight="1" spans="4:10">
      <c r="D884" s="93"/>
      <c r="G884" s="93"/>
      <c r="J884" s="93"/>
    </row>
    <row r="885" ht="19.5" customHeight="1" spans="4:10">
      <c r="D885" s="93"/>
      <c r="G885" s="93"/>
      <c r="J885" s="93"/>
    </row>
    <row r="886" ht="19.5" customHeight="1" spans="4:10">
      <c r="D886" s="93"/>
      <c r="G886" s="93"/>
      <c r="J886" s="93"/>
    </row>
    <row r="887" ht="19.5" customHeight="1" spans="4:10">
      <c r="D887" s="93"/>
      <c r="G887" s="93"/>
      <c r="J887" s="93"/>
    </row>
    <row r="888" ht="19.5" customHeight="1" spans="4:10">
      <c r="D888" s="93"/>
      <c r="G888" s="93"/>
      <c r="J888" s="93"/>
    </row>
    <row r="889" ht="19.5" customHeight="1" spans="4:10">
      <c r="D889" s="93"/>
      <c r="G889" s="93"/>
      <c r="J889" s="93"/>
    </row>
    <row r="890" ht="19.5" customHeight="1" spans="4:10">
      <c r="D890" s="93"/>
      <c r="G890" s="93"/>
      <c r="J890" s="93"/>
    </row>
    <row r="891" ht="19.5" customHeight="1" spans="4:10">
      <c r="D891" s="93"/>
      <c r="G891" s="93"/>
      <c r="J891" s="93"/>
    </row>
    <row r="892" ht="19.5" customHeight="1" spans="4:10">
      <c r="D892" s="93"/>
      <c r="G892" s="93"/>
      <c r="J892" s="93"/>
    </row>
    <row r="893" ht="19.5" customHeight="1" spans="4:10">
      <c r="D893" s="93"/>
      <c r="G893" s="93"/>
      <c r="J893" s="93"/>
    </row>
    <row r="894" ht="19.5" customHeight="1" spans="4:10">
      <c r="D894" s="93"/>
      <c r="G894" s="93"/>
      <c r="J894" s="93"/>
    </row>
    <row r="895" ht="19.5" customHeight="1" spans="4:10">
      <c r="D895" s="93"/>
      <c r="G895" s="93"/>
      <c r="J895" s="93"/>
    </row>
    <row r="896" ht="19.5" customHeight="1" spans="4:10">
      <c r="D896" s="93"/>
      <c r="G896" s="93"/>
      <c r="J896" s="93"/>
    </row>
    <row r="897" ht="19.5" customHeight="1" spans="4:10">
      <c r="D897" s="93"/>
      <c r="G897" s="93"/>
      <c r="J897" s="93"/>
    </row>
    <row r="898" ht="19.5" customHeight="1" spans="4:10">
      <c r="D898" s="93"/>
      <c r="G898" s="93"/>
      <c r="J898" s="93"/>
    </row>
    <row r="899" ht="19.5" customHeight="1" spans="4:10">
      <c r="D899" s="93"/>
      <c r="G899" s="93"/>
      <c r="J899" s="93"/>
    </row>
    <row r="900" ht="19.5" customHeight="1" spans="4:10">
      <c r="D900" s="93"/>
      <c r="G900" s="93"/>
      <c r="J900" s="93"/>
    </row>
    <row r="901" ht="19.5" customHeight="1" spans="4:10">
      <c r="D901" s="93"/>
      <c r="G901" s="93"/>
      <c r="J901" s="93"/>
    </row>
    <row r="902" ht="19.5" customHeight="1" spans="4:10">
      <c r="D902" s="93"/>
      <c r="G902" s="93"/>
      <c r="J902" s="93"/>
    </row>
    <row r="903" ht="19.5" customHeight="1" spans="4:10">
      <c r="D903" s="93"/>
      <c r="G903" s="93"/>
      <c r="J903" s="93"/>
    </row>
    <row r="904" ht="19.5" customHeight="1" spans="4:10">
      <c r="D904" s="93"/>
      <c r="G904" s="93"/>
      <c r="J904" s="93"/>
    </row>
    <row r="905" ht="19.5" customHeight="1" spans="4:10">
      <c r="D905" s="93"/>
      <c r="G905" s="93"/>
      <c r="J905" s="93"/>
    </row>
    <row r="906" ht="19.5" customHeight="1" spans="4:10">
      <c r="D906" s="93"/>
      <c r="G906" s="93"/>
      <c r="J906" s="93"/>
    </row>
    <row r="907" ht="19.5" customHeight="1" spans="4:10">
      <c r="D907" s="93"/>
      <c r="G907" s="93"/>
      <c r="J907" s="93"/>
    </row>
    <row r="908" ht="19.5" customHeight="1" spans="4:10">
      <c r="D908" s="93"/>
      <c r="G908" s="93"/>
      <c r="J908" s="93"/>
    </row>
    <row r="909" ht="19.5" customHeight="1" spans="4:10">
      <c r="D909" s="93"/>
      <c r="G909" s="93"/>
      <c r="J909" s="93"/>
    </row>
    <row r="910" ht="19.5" customHeight="1" spans="4:10">
      <c r="D910" s="93"/>
      <c r="G910" s="93"/>
      <c r="J910" s="93"/>
    </row>
    <row r="911" ht="19.5" customHeight="1" spans="4:10">
      <c r="D911" s="93"/>
      <c r="G911" s="93"/>
      <c r="J911" s="93"/>
    </row>
    <row r="912" ht="19.5" customHeight="1" spans="4:10">
      <c r="D912" s="93"/>
      <c r="G912" s="93"/>
      <c r="J912" s="93"/>
    </row>
    <row r="913" ht="19.5" customHeight="1" spans="4:10">
      <c r="D913" s="93"/>
      <c r="G913" s="93"/>
      <c r="J913" s="93"/>
    </row>
    <row r="914" ht="19.5" customHeight="1" spans="4:10">
      <c r="D914" s="93"/>
      <c r="G914" s="93"/>
      <c r="J914" s="93"/>
    </row>
    <row r="915" ht="19.5" customHeight="1" spans="4:10">
      <c r="D915" s="93"/>
      <c r="G915" s="93"/>
      <c r="J915" s="93"/>
    </row>
    <row r="916" ht="19.5" customHeight="1" spans="4:10">
      <c r="D916" s="93"/>
      <c r="G916" s="93"/>
      <c r="J916" s="93"/>
    </row>
    <row r="917" ht="19.5" customHeight="1" spans="4:10">
      <c r="D917" s="93"/>
      <c r="G917" s="93"/>
      <c r="J917" s="93"/>
    </row>
    <row r="918" ht="19.5" customHeight="1" spans="4:10">
      <c r="D918" s="93"/>
      <c r="G918" s="93"/>
      <c r="J918" s="93"/>
    </row>
    <row r="919" ht="19.5" customHeight="1" spans="4:10">
      <c r="D919" s="93"/>
      <c r="G919" s="93"/>
      <c r="J919" s="93"/>
    </row>
    <row r="920" ht="19.5" customHeight="1" spans="4:10">
      <c r="D920" s="93"/>
      <c r="G920" s="93"/>
      <c r="J920" s="93"/>
    </row>
    <row r="921" ht="19.5" customHeight="1" spans="4:10">
      <c r="D921" s="93"/>
      <c r="G921" s="93"/>
      <c r="J921" s="93"/>
    </row>
    <row r="922" ht="19.5" customHeight="1" spans="4:10">
      <c r="D922" s="93"/>
      <c r="G922" s="93"/>
      <c r="J922" s="93"/>
    </row>
    <row r="923" ht="19.5" customHeight="1" spans="4:10">
      <c r="D923" s="93"/>
      <c r="G923" s="93"/>
      <c r="J923" s="93"/>
    </row>
    <row r="924" ht="19.5" customHeight="1" spans="4:10">
      <c r="D924" s="93"/>
      <c r="G924" s="93"/>
      <c r="J924" s="93"/>
    </row>
    <row r="925" ht="19.5" customHeight="1" spans="4:10">
      <c r="D925" s="93"/>
      <c r="G925" s="93"/>
      <c r="J925" s="93"/>
    </row>
    <row r="926" ht="19.5" customHeight="1" spans="4:10">
      <c r="D926" s="93"/>
      <c r="G926" s="93"/>
      <c r="J926" s="93"/>
    </row>
    <row r="927" ht="19.5" customHeight="1" spans="4:10">
      <c r="D927" s="93"/>
      <c r="G927" s="93"/>
      <c r="J927" s="93"/>
    </row>
    <row r="928" ht="19.5" customHeight="1" spans="4:10">
      <c r="D928" s="93"/>
      <c r="G928" s="93"/>
      <c r="J928" s="93"/>
    </row>
    <row r="929" ht="19.5" customHeight="1" spans="4:10">
      <c r="D929" s="93"/>
      <c r="G929" s="93"/>
      <c r="J929" s="93"/>
    </row>
    <row r="930" ht="19.5" customHeight="1" spans="4:10">
      <c r="D930" s="93"/>
      <c r="G930" s="93"/>
      <c r="J930" s="93"/>
    </row>
    <row r="931" ht="19.5" customHeight="1" spans="4:10">
      <c r="D931" s="93"/>
      <c r="G931" s="93"/>
      <c r="J931" s="93"/>
    </row>
    <row r="932" ht="19.5" customHeight="1" spans="4:10">
      <c r="D932" s="93"/>
      <c r="G932" s="93"/>
      <c r="J932" s="93"/>
    </row>
    <row r="933" ht="19.5" customHeight="1" spans="4:10">
      <c r="D933" s="93"/>
      <c r="G933" s="93"/>
      <c r="J933" s="93"/>
    </row>
    <row r="934" ht="19.5" customHeight="1" spans="4:10">
      <c r="D934" s="93"/>
      <c r="G934" s="93"/>
      <c r="J934" s="93"/>
    </row>
    <row r="935" ht="19.5" customHeight="1" spans="4:10">
      <c r="D935" s="93"/>
      <c r="G935" s="93"/>
      <c r="J935" s="93"/>
    </row>
    <row r="936" ht="19.5" customHeight="1" spans="4:10">
      <c r="D936" s="93"/>
      <c r="G936" s="93"/>
      <c r="J936" s="93"/>
    </row>
    <row r="937" ht="19.5" customHeight="1" spans="4:10">
      <c r="D937" s="93"/>
      <c r="G937" s="93"/>
      <c r="J937" s="93"/>
    </row>
    <row r="938" ht="19.5" customHeight="1" spans="4:10">
      <c r="D938" s="93"/>
      <c r="G938" s="93"/>
      <c r="J938" s="93"/>
    </row>
    <row r="939" ht="19.5" customHeight="1" spans="4:10">
      <c r="D939" s="93"/>
      <c r="G939" s="93"/>
      <c r="J939" s="93"/>
    </row>
    <row r="940" ht="19.5" customHeight="1" spans="4:10">
      <c r="D940" s="93"/>
      <c r="G940" s="93"/>
      <c r="J940" s="93"/>
    </row>
    <row r="941" ht="19.5" customHeight="1" spans="4:10">
      <c r="D941" s="93"/>
      <c r="G941" s="93"/>
      <c r="J941" s="93"/>
    </row>
    <row r="942" ht="19.5" customHeight="1" spans="4:10">
      <c r="D942" s="93"/>
      <c r="G942" s="93"/>
      <c r="J942" s="93"/>
    </row>
    <row r="943" ht="19.5" customHeight="1" spans="4:10">
      <c r="D943" s="93"/>
      <c r="G943" s="93"/>
      <c r="J943" s="93"/>
    </row>
    <row r="944" ht="19.5" customHeight="1" spans="4:10">
      <c r="D944" s="93"/>
      <c r="G944" s="93"/>
      <c r="J944" s="93"/>
    </row>
    <row r="945" ht="19.5" customHeight="1" spans="4:10">
      <c r="D945" s="93"/>
      <c r="G945" s="93"/>
      <c r="J945" s="93"/>
    </row>
    <row r="946" ht="19.5" customHeight="1" spans="4:10">
      <c r="D946" s="93"/>
      <c r="G946" s="93"/>
      <c r="J946" s="93"/>
    </row>
    <row r="947" ht="19.5" customHeight="1" spans="4:10">
      <c r="D947" s="93"/>
      <c r="G947" s="93"/>
      <c r="J947" s="93"/>
    </row>
    <row r="948" ht="19.5" customHeight="1" spans="4:10">
      <c r="D948" s="93"/>
      <c r="G948" s="93"/>
      <c r="J948" s="93"/>
    </row>
    <row r="949" ht="19.5" customHeight="1" spans="4:10">
      <c r="D949" s="93"/>
      <c r="G949" s="93"/>
      <c r="J949" s="93"/>
    </row>
    <row r="950" ht="19.5" customHeight="1" spans="4:10">
      <c r="D950" s="93"/>
      <c r="G950" s="93"/>
      <c r="J950" s="93"/>
    </row>
    <row r="951" ht="19.5" customHeight="1" spans="4:10">
      <c r="D951" s="93"/>
      <c r="G951" s="93"/>
      <c r="J951" s="93"/>
    </row>
    <row r="952" ht="19.5" customHeight="1" spans="4:10">
      <c r="D952" s="93"/>
      <c r="G952" s="93"/>
      <c r="J952" s="93"/>
    </row>
    <row r="953" ht="19.5" customHeight="1" spans="4:10">
      <c r="D953" s="93"/>
      <c r="G953" s="93"/>
      <c r="J953" s="93"/>
    </row>
    <row r="954" ht="19.5" customHeight="1" spans="4:10">
      <c r="D954" s="93"/>
      <c r="G954" s="93"/>
      <c r="J954" s="93"/>
    </row>
    <row r="955" ht="19.5" customHeight="1" spans="4:10">
      <c r="D955" s="93"/>
      <c r="G955" s="93"/>
      <c r="J955" s="93"/>
    </row>
    <row r="956" ht="19.5" customHeight="1" spans="4:10">
      <c r="D956" s="93"/>
      <c r="G956" s="93"/>
      <c r="J956" s="93"/>
    </row>
    <row r="957" ht="19.5" customHeight="1" spans="4:10">
      <c r="D957" s="93"/>
      <c r="G957" s="93"/>
      <c r="J957" s="93"/>
    </row>
    <row r="958" ht="19.5" customHeight="1" spans="4:10">
      <c r="D958" s="93"/>
      <c r="G958" s="93"/>
      <c r="J958" s="93"/>
    </row>
    <row r="959" ht="19.5" customHeight="1" spans="4:10">
      <c r="D959" s="93"/>
      <c r="G959" s="93"/>
      <c r="J959" s="93"/>
    </row>
    <row r="960" ht="19.5" customHeight="1" spans="4:10">
      <c r="D960" s="93"/>
      <c r="G960" s="93"/>
      <c r="J960" s="93"/>
    </row>
    <row r="961" ht="19.5" customHeight="1" spans="4:10">
      <c r="D961" s="93"/>
      <c r="G961" s="93"/>
      <c r="J961" s="93"/>
    </row>
    <row r="962" ht="19.5" customHeight="1" spans="4:10">
      <c r="D962" s="93"/>
      <c r="G962" s="93"/>
      <c r="J962" s="93"/>
    </row>
    <row r="963" ht="19.5" customHeight="1" spans="4:10">
      <c r="D963" s="93"/>
      <c r="G963" s="93"/>
      <c r="J963" s="93"/>
    </row>
    <row r="964" ht="19.5" customHeight="1" spans="4:10">
      <c r="D964" s="93"/>
      <c r="G964" s="93"/>
      <c r="J964" s="93"/>
    </row>
    <row r="965" ht="19.5" customHeight="1" spans="4:10">
      <c r="D965" s="93"/>
      <c r="G965" s="93"/>
      <c r="J965" s="93"/>
    </row>
    <row r="966" ht="19.5" customHeight="1" spans="4:10">
      <c r="D966" s="93"/>
      <c r="G966" s="93"/>
      <c r="J966" s="93"/>
    </row>
    <row r="967" ht="19.5" customHeight="1" spans="4:10">
      <c r="D967" s="93"/>
      <c r="G967" s="93"/>
      <c r="J967" s="93"/>
    </row>
    <row r="968" ht="19.5" customHeight="1" spans="4:10">
      <c r="D968" s="93"/>
      <c r="G968" s="93"/>
      <c r="J968" s="93"/>
    </row>
    <row r="969" ht="19.5" customHeight="1" spans="4:10">
      <c r="D969" s="93"/>
      <c r="G969" s="93"/>
      <c r="J969" s="93"/>
    </row>
    <row r="970" ht="19.5" customHeight="1" spans="4:10">
      <c r="D970" s="93"/>
      <c r="G970" s="93"/>
      <c r="J970" s="93"/>
    </row>
    <row r="971" ht="19.5" customHeight="1" spans="4:10">
      <c r="D971" s="93"/>
      <c r="G971" s="93"/>
      <c r="J971" s="93"/>
    </row>
    <row r="972" ht="19.5" customHeight="1" spans="4:10">
      <c r="D972" s="93"/>
      <c r="G972" s="93"/>
      <c r="J972" s="93"/>
    </row>
    <row r="973" ht="19.5" customHeight="1" spans="4:10">
      <c r="D973" s="93"/>
      <c r="G973" s="93"/>
      <c r="J973" s="93"/>
    </row>
    <row r="974" ht="19.5" customHeight="1" spans="4:10">
      <c r="D974" s="93"/>
      <c r="G974" s="93"/>
      <c r="J974" s="93"/>
    </row>
    <row r="975" ht="19.5" customHeight="1" spans="4:10">
      <c r="D975" s="93"/>
      <c r="G975" s="93"/>
      <c r="J975" s="93"/>
    </row>
    <row r="976" ht="19.5" customHeight="1" spans="4:10">
      <c r="D976" s="93"/>
      <c r="G976" s="93"/>
      <c r="J976" s="93"/>
    </row>
    <row r="977" ht="19.5" customHeight="1" spans="4:10">
      <c r="D977" s="93"/>
      <c r="G977" s="93"/>
      <c r="J977" s="93"/>
    </row>
    <row r="978" ht="19.5" customHeight="1" spans="4:10">
      <c r="D978" s="93"/>
      <c r="G978" s="93"/>
      <c r="J978" s="93"/>
    </row>
    <row r="979" ht="19.5" customHeight="1" spans="4:10">
      <c r="D979" s="93"/>
      <c r="G979" s="93"/>
      <c r="J979" s="93"/>
    </row>
    <row r="980" ht="19.5" customHeight="1" spans="4:10">
      <c r="D980" s="93"/>
      <c r="G980" s="93"/>
      <c r="J980" s="93"/>
    </row>
    <row r="981" ht="19.5" customHeight="1" spans="4:10">
      <c r="D981" s="93"/>
      <c r="G981" s="93"/>
      <c r="J981" s="93"/>
    </row>
    <row r="982" ht="19.5" customHeight="1" spans="4:10">
      <c r="D982" s="93"/>
      <c r="G982" s="93"/>
      <c r="J982" s="93"/>
    </row>
    <row r="983" ht="19.5" customHeight="1" spans="4:10">
      <c r="D983" s="93"/>
      <c r="G983" s="93"/>
      <c r="J983" s="93"/>
    </row>
    <row r="984" ht="19.5" customHeight="1" spans="4:10">
      <c r="D984" s="93"/>
      <c r="G984" s="93"/>
      <c r="J984" s="93"/>
    </row>
    <row r="985" ht="19.5" customHeight="1" spans="4:10">
      <c r="D985" s="93"/>
      <c r="G985" s="93"/>
      <c r="J985" s="93"/>
    </row>
    <row r="986" ht="19.5" customHeight="1" spans="4:10">
      <c r="D986" s="93"/>
      <c r="G986" s="93"/>
      <c r="J986" s="93"/>
    </row>
    <row r="987" ht="19.5" customHeight="1" spans="4:10">
      <c r="D987" s="93"/>
      <c r="G987" s="93"/>
      <c r="J987" s="93"/>
    </row>
    <row r="988" ht="19.5" customHeight="1" spans="4:10">
      <c r="D988" s="93"/>
      <c r="G988" s="93"/>
      <c r="J988" s="93"/>
    </row>
    <row r="989" ht="19.5" customHeight="1" spans="4:10">
      <c r="D989" s="93"/>
      <c r="G989" s="93"/>
      <c r="J989" s="93"/>
    </row>
    <row r="990" ht="19.5" customHeight="1" spans="4:10">
      <c r="D990" s="93"/>
      <c r="G990" s="93"/>
      <c r="J990" s="93"/>
    </row>
    <row r="991" ht="19.5" customHeight="1" spans="4:10">
      <c r="D991" s="93"/>
      <c r="G991" s="93"/>
      <c r="J991" s="93"/>
    </row>
    <row r="992" ht="19.5" customHeight="1" spans="4:10">
      <c r="D992" s="93"/>
      <c r="G992" s="93"/>
      <c r="J992" s="93"/>
    </row>
    <row r="993" ht="19.5" customHeight="1" spans="4:10">
      <c r="D993" s="93"/>
      <c r="G993" s="93"/>
      <c r="J993" s="93"/>
    </row>
    <row r="994" ht="19.5" customHeight="1" spans="4:10">
      <c r="D994" s="93"/>
      <c r="G994" s="93"/>
      <c r="J994" s="93"/>
    </row>
    <row r="995" ht="19.5" customHeight="1" spans="4:10">
      <c r="D995" s="93"/>
      <c r="G995" s="93"/>
      <c r="J995" s="93"/>
    </row>
    <row r="996" ht="19.5" customHeight="1" spans="4:10">
      <c r="D996" s="93"/>
      <c r="G996" s="93"/>
      <c r="J996" s="93"/>
    </row>
    <row r="997" ht="19.5" customHeight="1" spans="4:10">
      <c r="D997" s="93"/>
      <c r="G997" s="93"/>
      <c r="J997" s="93"/>
    </row>
    <row r="998" ht="19.5" customHeight="1" spans="4:10">
      <c r="D998" s="93"/>
      <c r="G998" s="93"/>
      <c r="J998" s="93"/>
    </row>
    <row r="999" ht="19.5" customHeight="1" spans="4:10">
      <c r="D999" s="93"/>
      <c r="G999" s="93"/>
      <c r="J999" s="93"/>
    </row>
    <row r="1000" ht="19.5" customHeight="1" spans="4:10">
      <c r="D1000" s="93"/>
      <c r="G1000" s="93"/>
      <c r="J1000" s="93"/>
    </row>
    <row r="1001" ht="19.5" customHeight="1" spans="4:10">
      <c r="D1001" s="93"/>
      <c r="G1001" s="93"/>
      <c r="J1001" s="93"/>
    </row>
    <row r="1002" ht="19.5" customHeight="1" spans="4:10">
      <c r="D1002" s="93"/>
      <c r="G1002" s="93"/>
      <c r="J1002" s="93"/>
    </row>
    <row r="1003" ht="19.5" customHeight="1" spans="4:10">
      <c r="D1003" s="93"/>
      <c r="G1003" s="93"/>
      <c r="J1003" s="93"/>
    </row>
    <row r="1004" ht="19.5" customHeight="1" spans="4:10">
      <c r="D1004" s="93"/>
      <c r="G1004" s="93"/>
      <c r="J1004" s="93"/>
    </row>
    <row r="1005" ht="19.5" customHeight="1" spans="4:10">
      <c r="D1005" s="93"/>
      <c r="G1005" s="93"/>
      <c r="J1005" s="93"/>
    </row>
    <row r="1006" ht="19.5" customHeight="1" spans="4:10">
      <c r="D1006" s="93"/>
      <c r="G1006" s="93"/>
      <c r="J1006" s="93"/>
    </row>
    <row r="1007" ht="19.5" customHeight="1" spans="4:10">
      <c r="D1007" s="93"/>
      <c r="G1007" s="93"/>
      <c r="J1007" s="93"/>
    </row>
    <row r="1008" ht="19.5" customHeight="1" spans="4:10">
      <c r="D1008" s="93"/>
      <c r="G1008" s="93"/>
      <c r="J1008" s="93"/>
    </row>
    <row r="1009" ht="19.5" customHeight="1" spans="4:10">
      <c r="D1009" s="93"/>
      <c r="G1009" s="93"/>
      <c r="J1009" s="93"/>
    </row>
    <row r="1010" ht="19.5" customHeight="1" spans="4:10">
      <c r="D1010" s="93"/>
      <c r="G1010" s="93"/>
      <c r="J1010" s="93"/>
    </row>
    <row r="1011" ht="19.5" customHeight="1" spans="4:10">
      <c r="D1011" s="93"/>
      <c r="G1011" s="93"/>
      <c r="J1011" s="93"/>
    </row>
    <row r="1012" ht="19.5" customHeight="1" spans="4:10">
      <c r="D1012" s="93"/>
      <c r="G1012" s="93"/>
      <c r="J1012" s="93"/>
    </row>
    <row r="1013" ht="19.5" customHeight="1" spans="4:10">
      <c r="D1013" s="93"/>
      <c r="G1013" s="93"/>
      <c r="J1013" s="93"/>
    </row>
    <row r="1014" ht="19.5" customHeight="1" spans="4:10">
      <c r="D1014" s="93"/>
      <c r="G1014" s="93"/>
      <c r="J1014" s="93"/>
    </row>
    <row r="1015" ht="19.5" customHeight="1" spans="4:10">
      <c r="D1015" s="93"/>
      <c r="G1015" s="93"/>
      <c r="J1015" s="93"/>
    </row>
    <row r="1016" ht="19.5" customHeight="1" spans="4:10">
      <c r="D1016" s="93"/>
      <c r="G1016" s="93"/>
      <c r="J1016" s="93"/>
    </row>
    <row r="1017" ht="19.5" customHeight="1" spans="4:10">
      <c r="D1017" s="93"/>
      <c r="G1017" s="93"/>
      <c r="J1017" s="93"/>
    </row>
    <row r="1018" ht="19.5" customHeight="1" spans="4:10">
      <c r="D1018" s="93"/>
      <c r="G1018" s="93"/>
      <c r="J1018" s="93"/>
    </row>
    <row r="1019" ht="19.5" customHeight="1" spans="4:10">
      <c r="D1019" s="93"/>
      <c r="G1019" s="93"/>
      <c r="J1019" s="93"/>
    </row>
    <row r="1020" ht="19.5" customHeight="1" spans="4:10">
      <c r="D1020" s="93"/>
      <c r="G1020" s="93"/>
      <c r="J1020" s="93"/>
    </row>
    <row r="1021" ht="19.5" customHeight="1" spans="4:10">
      <c r="D1021" s="93"/>
      <c r="G1021" s="93"/>
      <c r="J1021" s="93"/>
    </row>
    <row r="1022" ht="19.5" customHeight="1" spans="4:10">
      <c r="D1022" s="93"/>
      <c r="G1022" s="93"/>
      <c r="J1022" s="93"/>
    </row>
    <row r="1023" ht="19.5" customHeight="1" spans="4:10">
      <c r="D1023" s="93"/>
      <c r="G1023" s="93"/>
      <c r="J1023" s="93"/>
    </row>
    <row r="1024" ht="19.5" customHeight="1" spans="4:10">
      <c r="D1024" s="93"/>
      <c r="G1024" s="93"/>
      <c r="J1024" s="93"/>
    </row>
    <row r="1025" ht="19.5" customHeight="1" spans="4:10">
      <c r="D1025" s="93"/>
      <c r="G1025" s="93"/>
      <c r="J1025" s="93"/>
    </row>
  </sheetData>
  <mergeCells count="72">
    <mergeCell ref="A1:M1"/>
    <mergeCell ref="A6:I6"/>
    <mergeCell ref="A24:M24"/>
    <mergeCell ref="A27:I27"/>
    <mergeCell ref="A28:I28"/>
    <mergeCell ref="A29:M29"/>
    <mergeCell ref="A48:M48"/>
    <mergeCell ref="A51:I51"/>
    <mergeCell ref="A52:I52"/>
    <mergeCell ref="A53:M53"/>
    <mergeCell ref="A71:M71"/>
    <mergeCell ref="A74:I74"/>
    <mergeCell ref="A75:I75"/>
    <mergeCell ref="A76:M76"/>
    <mergeCell ref="A94:M94"/>
    <mergeCell ref="A97:J97"/>
    <mergeCell ref="A98:J98"/>
    <mergeCell ref="A99:M99"/>
    <mergeCell ref="A118:M118"/>
    <mergeCell ref="A121:J121"/>
    <mergeCell ref="A122:J122"/>
    <mergeCell ref="A123:M123"/>
    <mergeCell ref="A141:M141"/>
    <mergeCell ref="A144:J144"/>
    <mergeCell ref="A145:J145"/>
    <mergeCell ref="A146:M146"/>
    <mergeCell ref="A164:M164"/>
    <mergeCell ref="A167:J167"/>
    <mergeCell ref="A168:J168"/>
    <mergeCell ref="A169:M169"/>
    <mergeCell ref="A187:M187"/>
    <mergeCell ref="A190:J190"/>
    <mergeCell ref="A191:J191"/>
    <mergeCell ref="A192:M192"/>
    <mergeCell ref="A211:M211"/>
    <mergeCell ref="A216:M216"/>
    <mergeCell ref="A234:M234"/>
    <mergeCell ref="A237:I237"/>
    <mergeCell ref="A238:I238"/>
    <mergeCell ref="A239:M239"/>
    <mergeCell ref="A257:M257"/>
    <mergeCell ref="A262:M262"/>
    <mergeCell ref="A280:M280"/>
    <mergeCell ref="A285:M285"/>
    <mergeCell ref="A304:M304"/>
    <mergeCell ref="A309:M309"/>
    <mergeCell ref="A327:M327"/>
    <mergeCell ref="A332:M332"/>
    <mergeCell ref="A350:M350"/>
    <mergeCell ref="A355:M355"/>
    <mergeCell ref="A373:M373"/>
    <mergeCell ref="A378:M378"/>
    <mergeCell ref="A397:M397"/>
    <mergeCell ref="A402:M402"/>
    <mergeCell ref="K212:M214"/>
    <mergeCell ref="K235:M237"/>
    <mergeCell ref="K258:M260"/>
    <mergeCell ref="K281:M283"/>
    <mergeCell ref="K398:M400"/>
    <mergeCell ref="K351:M353"/>
    <mergeCell ref="K374:M376"/>
    <mergeCell ref="K2:M4"/>
    <mergeCell ref="K25:M27"/>
    <mergeCell ref="K49:M51"/>
    <mergeCell ref="K72:M74"/>
    <mergeCell ref="K95:M97"/>
    <mergeCell ref="K119:M121"/>
    <mergeCell ref="K142:M144"/>
    <mergeCell ref="K165:M167"/>
    <mergeCell ref="K188:M190"/>
    <mergeCell ref="K305:M307"/>
    <mergeCell ref="K328:M330"/>
  </mergeCells>
  <printOptions horizontalCentered="1" verticalCentered="1"/>
  <pageMargins left="0.7" right="0.7" top="0.75" bottom="0.75" header="0" footer="0"/>
  <pageSetup paperSize="9" orientation="landscape"/>
  <headerFooter/>
  <rowBreaks count="13" manualBreakCount="13">
    <brk id="23" max="0" man="1"/>
    <brk id="47" max="0" man="1"/>
    <brk id="70" max="0" man="1"/>
    <brk id="93" max="0" man="1"/>
    <brk id="140" max="0" man="1"/>
    <brk id="163" max="0" man="1"/>
    <brk id="186" max="0" man="1"/>
    <brk id="233" max="0" man="1"/>
    <brk id="256" max="0" man="1"/>
    <brk id="279" max="0" man="1"/>
    <brk id="326" max="0" man="1"/>
    <brk id="349" max="0" man="1"/>
    <brk id="372" max="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workbookViewId="0">
      <selection activeCell="A1" sqref="A1:M1"/>
    </sheetView>
  </sheetViews>
  <sheetFormatPr defaultColWidth="14.4259259259259" defaultRowHeight="15" customHeight="1"/>
  <cols>
    <col min="1" max="1" width="11" customWidth="1"/>
    <col min="2" max="2" width="8.57407407407407" customWidth="1"/>
    <col min="3" max="6" width="8.71296296296296" customWidth="1"/>
    <col min="7" max="7" width="8.42592592592593" customWidth="1"/>
    <col min="8" max="8" width="9.28703703703704" customWidth="1"/>
    <col min="9" max="10" width="8.42592592592593" customWidth="1"/>
    <col min="11" max="11" width="9.42592592592593" customWidth="1"/>
    <col min="12" max="12" width="10.8611111111111" customWidth="1"/>
    <col min="13" max="13" width="9.42592592592593" customWidth="1"/>
    <col min="14" max="14" width="8.28703703703704" customWidth="1"/>
  </cols>
  <sheetData>
    <row r="1" ht="21" customHeight="1" spans="1:14">
      <c r="A1" s="33" t="s">
        <v>141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ht="14.25" customHeight="1" spans="1:14">
      <c r="A2" s="35"/>
      <c r="B2" s="35"/>
      <c r="C2" s="17"/>
      <c r="D2" s="17"/>
      <c r="E2" s="17"/>
      <c r="F2" s="17"/>
      <c r="G2" s="17"/>
      <c r="H2" s="17"/>
      <c r="I2" s="17"/>
      <c r="J2" s="17"/>
      <c r="K2" s="17"/>
      <c r="L2" s="35"/>
      <c r="M2" s="35"/>
    </row>
    <row r="3" customHeight="1" spans="1:14">
      <c r="A3" s="36" t="s">
        <v>142</v>
      </c>
      <c r="B3" s="37"/>
      <c r="C3" s="38" t="s">
        <v>143</v>
      </c>
      <c r="D3" s="38" t="s">
        <v>144</v>
      </c>
      <c r="E3" s="38" t="s">
        <v>145</v>
      </c>
      <c r="F3" s="39" t="s">
        <v>146</v>
      </c>
      <c r="G3" s="40"/>
      <c r="H3" s="21"/>
      <c r="I3" s="39" t="s">
        <v>147</v>
      </c>
      <c r="J3" s="40"/>
      <c r="K3" s="21"/>
      <c r="L3" s="35"/>
      <c r="M3" s="35"/>
    </row>
    <row r="4" ht="14.25" customHeight="1" spans="1:14">
      <c r="A4" s="41"/>
      <c r="B4" s="4"/>
      <c r="C4" s="38" t="s">
        <v>148</v>
      </c>
      <c r="D4" s="38" t="s">
        <v>149</v>
      </c>
      <c r="E4" s="38" t="s">
        <v>150</v>
      </c>
      <c r="F4" s="38" t="s">
        <v>151</v>
      </c>
      <c r="G4" s="38" t="s">
        <v>152</v>
      </c>
      <c r="H4" s="38" t="s">
        <v>153</v>
      </c>
      <c r="I4" s="38" t="s">
        <v>154</v>
      </c>
      <c r="J4" s="38" t="s">
        <v>155</v>
      </c>
      <c r="K4" s="38" t="s">
        <v>156</v>
      </c>
      <c r="L4" s="35"/>
      <c r="M4" s="35"/>
    </row>
    <row r="5" ht="14.25" customHeight="1" spans="1:14">
      <c r="A5" s="42" t="s">
        <v>157</v>
      </c>
      <c r="B5" s="21"/>
      <c r="C5" s="43">
        <v>2805</v>
      </c>
      <c r="D5" s="43">
        <v>3003</v>
      </c>
      <c r="E5" s="43">
        <v>3465</v>
      </c>
      <c r="F5" s="43">
        <v>4433</v>
      </c>
      <c r="G5" s="43">
        <v>4675</v>
      </c>
      <c r="H5" s="43">
        <v>4950</v>
      </c>
      <c r="I5" s="43">
        <v>5060</v>
      </c>
      <c r="J5" s="43">
        <v>5577</v>
      </c>
      <c r="K5" s="43">
        <v>6050</v>
      </c>
      <c r="L5" s="35"/>
      <c r="M5" s="44"/>
      <c r="N5" s="44"/>
    </row>
    <row r="6" ht="12.75" customHeight="1" spans="1:14">
      <c r="A6" s="42" t="s">
        <v>158</v>
      </c>
      <c r="B6" s="21"/>
      <c r="C6" s="43">
        <v>4372.5</v>
      </c>
      <c r="D6" s="43">
        <v>5115</v>
      </c>
      <c r="E6" s="43">
        <v>6270</v>
      </c>
      <c r="F6" s="43">
        <v>8030</v>
      </c>
      <c r="G6" s="43">
        <v>9350</v>
      </c>
      <c r="H6" s="43">
        <v>9570</v>
      </c>
      <c r="I6" s="43">
        <v>10560</v>
      </c>
      <c r="J6" s="43">
        <v>11385</v>
      </c>
      <c r="K6" s="43">
        <v>12210</v>
      </c>
      <c r="L6" s="35"/>
      <c r="M6" s="44"/>
      <c r="N6" s="44"/>
    </row>
    <row r="7" ht="14.25" customHeight="1" spans="1:14">
      <c r="A7" s="42" t="s">
        <v>159</v>
      </c>
      <c r="B7" s="21"/>
      <c r="C7" s="43">
        <v>3465</v>
      </c>
      <c r="D7" s="43">
        <v>4015</v>
      </c>
      <c r="E7" s="43">
        <v>4730</v>
      </c>
      <c r="F7" s="43">
        <v>6050</v>
      </c>
      <c r="G7" s="43">
        <v>6710</v>
      </c>
      <c r="H7" s="43">
        <v>7040</v>
      </c>
      <c r="I7" s="43">
        <v>7920</v>
      </c>
      <c r="J7" s="43">
        <v>8690</v>
      </c>
      <c r="K7" s="43">
        <v>9350</v>
      </c>
      <c r="L7" s="35"/>
      <c r="M7" s="44"/>
      <c r="N7" s="44"/>
    </row>
    <row r="8" ht="14.25" customHeight="1" spans="1:14">
      <c r="A8" s="35"/>
      <c r="B8" s="35"/>
      <c r="C8" s="17"/>
      <c r="D8" s="17"/>
      <c r="E8" s="17"/>
      <c r="F8" s="17"/>
      <c r="G8" s="17"/>
      <c r="H8" s="17"/>
      <c r="I8" s="17"/>
      <c r="J8" s="17"/>
      <c r="K8" s="17"/>
      <c r="L8" s="35"/>
      <c r="M8" s="35"/>
    </row>
    <row r="9" customHeight="1" spans="1:14">
      <c r="A9" s="39" t="s">
        <v>160</v>
      </c>
      <c r="B9" s="40"/>
      <c r="C9" s="40"/>
      <c r="D9" s="40"/>
      <c r="E9" s="40"/>
      <c r="F9" s="40"/>
      <c r="G9" s="40"/>
      <c r="H9" s="40"/>
      <c r="I9" s="40"/>
      <c r="J9" s="40"/>
      <c r="K9" s="21"/>
      <c r="L9" s="35"/>
      <c r="M9" s="35"/>
    </row>
    <row r="10" ht="14.25" customHeight="1" spans="1:14">
      <c r="A10" s="45"/>
      <c r="B10" s="37"/>
      <c r="C10" s="39" t="s">
        <v>161</v>
      </c>
      <c r="D10" s="40"/>
      <c r="E10" s="21"/>
      <c r="F10" s="39" t="s">
        <v>162</v>
      </c>
      <c r="G10" s="40"/>
      <c r="H10" s="21"/>
      <c r="I10" s="39" t="s">
        <v>163</v>
      </c>
      <c r="J10" s="40"/>
      <c r="K10" s="21"/>
      <c r="L10" s="35"/>
      <c r="M10" s="35"/>
    </row>
    <row r="11" ht="14.25" customHeight="1" spans="1:14">
      <c r="A11" s="41"/>
      <c r="B11" s="4"/>
      <c r="C11" s="46" t="s">
        <v>164</v>
      </c>
      <c r="D11" s="40"/>
      <c r="E11" s="21"/>
      <c r="F11" s="46" t="s">
        <v>165</v>
      </c>
      <c r="G11" s="40"/>
      <c r="H11" s="21"/>
      <c r="I11" s="46" t="s">
        <v>166</v>
      </c>
      <c r="J11" s="40"/>
      <c r="K11" s="21"/>
      <c r="L11" s="35"/>
      <c r="M11" s="35"/>
      <c r="N11" s="13"/>
    </row>
    <row r="12" ht="14.25" customHeight="1" spans="1:14">
      <c r="A12" s="47" t="s">
        <v>157</v>
      </c>
      <c r="B12" s="21"/>
      <c r="C12" s="48">
        <v>1760</v>
      </c>
      <c r="D12" s="40"/>
      <c r="E12" s="21"/>
      <c r="F12" s="48">
        <v>2090</v>
      </c>
      <c r="G12" s="40"/>
      <c r="H12" s="21"/>
      <c r="I12" s="48">
        <v>2475</v>
      </c>
      <c r="J12" s="40"/>
      <c r="K12" s="21"/>
      <c r="L12" s="49"/>
      <c r="M12" s="49"/>
      <c r="N12" s="13"/>
    </row>
    <row r="13" ht="14.25" customHeight="1" spans="1:14">
      <c r="A13" s="42" t="s">
        <v>158</v>
      </c>
      <c r="B13" s="21"/>
      <c r="C13" s="50">
        <v>4125</v>
      </c>
      <c r="D13" s="40"/>
      <c r="E13" s="21"/>
      <c r="F13" s="50">
        <v>4785</v>
      </c>
      <c r="G13" s="40"/>
      <c r="H13" s="21"/>
      <c r="I13" s="50">
        <v>5775</v>
      </c>
      <c r="J13" s="40"/>
      <c r="K13" s="21"/>
      <c r="L13" s="35"/>
      <c r="M13" s="35"/>
      <c r="N13" s="13"/>
    </row>
    <row r="14" ht="14.25" customHeight="1" spans="1:14">
      <c r="A14" s="47" t="s">
        <v>159</v>
      </c>
      <c r="B14" s="21"/>
      <c r="C14" s="48">
        <v>2816</v>
      </c>
      <c r="D14" s="40"/>
      <c r="E14" s="21"/>
      <c r="F14" s="48">
        <v>3950</v>
      </c>
      <c r="G14" s="40"/>
      <c r="H14" s="21"/>
      <c r="I14" s="48">
        <v>4455</v>
      </c>
      <c r="J14" s="40"/>
      <c r="K14" s="21"/>
      <c r="L14" s="49"/>
      <c r="M14" s="49"/>
      <c r="N14" s="51"/>
    </row>
    <row r="15" ht="14.25" customHeight="1" spans="1:14">
      <c r="A15" s="35"/>
      <c r="B15" s="35"/>
      <c r="C15" s="52" t="s">
        <v>167</v>
      </c>
      <c r="L15" s="35"/>
      <c r="M15" s="35"/>
    </row>
    <row r="16" ht="14.25" customHeight="1" spans="1:14">
      <c r="A16" s="35"/>
      <c r="B16" s="35"/>
      <c r="C16" s="17"/>
      <c r="D16" s="17"/>
      <c r="E16" s="17"/>
      <c r="F16" s="17"/>
      <c r="G16" s="17"/>
      <c r="H16" s="17"/>
      <c r="I16" s="17"/>
      <c r="J16" s="17"/>
      <c r="K16" s="17"/>
      <c r="L16" s="35"/>
      <c r="M16" s="35"/>
    </row>
    <row r="17" ht="15.75" customHeight="1" spans="1:14">
      <c r="A17" s="53" t="s">
        <v>168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21"/>
    </row>
    <row r="18" ht="16.5" customHeight="1" spans="1:14">
      <c r="A18" s="54"/>
      <c r="B18" s="21"/>
      <c r="C18" s="55" t="s">
        <v>143</v>
      </c>
      <c r="D18" s="55" t="s">
        <v>169</v>
      </c>
      <c r="E18" s="55" t="s">
        <v>144</v>
      </c>
      <c r="F18" s="55" t="s">
        <v>170</v>
      </c>
      <c r="G18" s="55" t="s">
        <v>171</v>
      </c>
      <c r="H18" s="55" t="s">
        <v>172</v>
      </c>
      <c r="I18" s="55" t="s">
        <v>173</v>
      </c>
      <c r="J18" s="55" t="s">
        <v>145</v>
      </c>
      <c r="K18" s="55" t="s">
        <v>174</v>
      </c>
      <c r="L18" s="55" t="s">
        <v>175</v>
      </c>
      <c r="M18" s="55" t="s">
        <v>147</v>
      </c>
    </row>
    <row r="19" ht="16.5" customHeight="1" spans="1:14">
      <c r="A19" s="47" t="s">
        <v>157</v>
      </c>
      <c r="B19" s="21"/>
      <c r="C19" s="56">
        <v>605</v>
      </c>
      <c r="D19" s="56">
        <v>715</v>
      </c>
      <c r="E19" s="56">
        <v>770</v>
      </c>
      <c r="F19" s="56">
        <v>825</v>
      </c>
      <c r="G19" s="56">
        <v>880</v>
      </c>
      <c r="H19" s="56">
        <v>935</v>
      </c>
      <c r="I19" s="56">
        <v>990</v>
      </c>
      <c r="J19" s="56">
        <v>1100</v>
      </c>
      <c r="K19" s="56">
        <v>1210</v>
      </c>
      <c r="L19" s="56">
        <v>1375</v>
      </c>
      <c r="M19" s="56">
        <v>1650</v>
      </c>
      <c r="N19" s="51"/>
    </row>
    <row r="20" ht="16.5" customHeight="1" spans="1:14">
      <c r="A20" s="47" t="s">
        <v>176</v>
      </c>
      <c r="B20" s="21"/>
      <c r="C20" s="56">
        <v>726</v>
      </c>
      <c r="D20" s="56">
        <v>858</v>
      </c>
      <c r="E20" s="56">
        <v>924</v>
      </c>
      <c r="F20" s="56">
        <v>990</v>
      </c>
      <c r="G20" s="56">
        <v>1056</v>
      </c>
      <c r="H20" s="56">
        <v>1122</v>
      </c>
      <c r="I20" s="56">
        <v>1188</v>
      </c>
      <c r="J20" s="56">
        <v>1320</v>
      </c>
      <c r="K20" s="56">
        <v>1452</v>
      </c>
      <c r="L20" s="57">
        <v>1650</v>
      </c>
      <c r="M20" s="57">
        <v>1980</v>
      </c>
      <c r="N20" s="51"/>
    </row>
    <row r="21" ht="16.5" customHeight="1" spans="1:14">
      <c r="A21" s="42" t="s">
        <v>158</v>
      </c>
      <c r="B21" s="21"/>
      <c r="C21" s="43">
        <v>1881</v>
      </c>
      <c r="D21" s="43">
        <v>2090</v>
      </c>
      <c r="E21" s="43">
        <v>2299</v>
      </c>
      <c r="F21" s="43">
        <v>2466.2</v>
      </c>
      <c r="G21" s="43">
        <v>2508</v>
      </c>
      <c r="H21" s="43">
        <v>2717</v>
      </c>
      <c r="I21" s="43">
        <v>2926</v>
      </c>
      <c r="J21" s="43">
        <v>3239.5</v>
      </c>
      <c r="K21" s="43">
        <v>3344</v>
      </c>
      <c r="L21" s="58">
        <v>3866.5</v>
      </c>
      <c r="M21" s="58">
        <v>4702.5</v>
      </c>
    </row>
    <row r="22" ht="16.5" customHeight="1" spans="1:14">
      <c r="A22" s="42" t="s">
        <v>177</v>
      </c>
      <c r="B22" s="21"/>
      <c r="C22" s="43">
        <v>2257.2</v>
      </c>
      <c r="D22" s="43">
        <v>2508</v>
      </c>
      <c r="E22" s="43">
        <v>2758.8</v>
      </c>
      <c r="F22" s="43">
        <v>2959</v>
      </c>
      <c r="G22" s="43">
        <v>3009.6</v>
      </c>
      <c r="H22" s="43">
        <v>3260.4</v>
      </c>
      <c r="I22" s="43">
        <v>3511.2</v>
      </c>
      <c r="J22" s="43">
        <v>3887.4</v>
      </c>
      <c r="K22" s="43">
        <v>4012.8</v>
      </c>
      <c r="L22" s="58">
        <v>4639.8</v>
      </c>
      <c r="M22" s="58">
        <v>5643</v>
      </c>
    </row>
    <row r="23" ht="16.5" customHeight="1" spans="1:14">
      <c r="A23" s="47" t="s">
        <v>159</v>
      </c>
      <c r="B23" s="21"/>
      <c r="C23" s="56">
        <v>1133</v>
      </c>
      <c r="D23" s="56">
        <v>1496</v>
      </c>
      <c r="E23" s="56">
        <v>1672</v>
      </c>
      <c r="F23" s="56">
        <v>1760</v>
      </c>
      <c r="G23" s="56">
        <v>1870</v>
      </c>
      <c r="H23" s="56">
        <v>1925</v>
      </c>
      <c r="I23" s="56">
        <v>1980</v>
      </c>
      <c r="J23" s="56">
        <v>2035</v>
      </c>
      <c r="K23" s="56">
        <v>2090</v>
      </c>
      <c r="L23" s="57">
        <v>2310</v>
      </c>
      <c r="M23" s="57">
        <v>2475</v>
      </c>
      <c r="N23" s="51"/>
    </row>
    <row r="24" ht="16.5" customHeight="1" spans="1:14">
      <c r="A24" s="47" t="s">
        <v>178</v>
      </c>
      <c r="B24" s="21"/>
      <c r="C24" s="56">
        <v>1359.6</v>
      </c>
      <c r="D24" s="56">
        <v>1795.2</v>
      </c>
      <c r="E24" s="56">
        <v>2006.4</v>
      </c>
      <c r="F24" s="56">
        <v>2112</v>
      </c>
      <c r="G24" s="56">
        <v>2244</v>
      </c>
      <c r="H24" s="56">
        <v>2310</v>
      </c>
      <c r="I24" s="56">
        <v>2376</v>
      </c>
      <c r="J24" s="56">
        <v>2442</v>
      </c>
      <c r="K24" s="56">
        <v>2508</v>
      </c>
      <c r="L24" s="57">
        <v>2772</v>
      </c>
      <c r="M24" s="57">
        <v>2970</v>
      </c>
      <c r="N24" s="51"/>
    </row>
    <row r="25" ht="14.25" customHeight="1" spans="1:14">
      <c r="A25" s="35"/>
      <c r="B25" s="35"/>
      <c r="C25" s="17"/>
      <c r="D25" s="17"/>
      <c r="E25" s="17"/>
      <c r="F25" s="17"/>
      <c r="G25" s="17"/>
      <c r="H25" s="17"/>
      <c r="I25" s="17"/>
      <c r="J25" s="17"/>
      <c r="K25" s="17"/>
      <c r="L25" s="35"/>
      <c r="M25" s="35"/>
    </row>
    <row r="26" ht="18" customHeight="1" spans="1:14">
      <c r="A26" s="47" t="s">
        <v>179</v>
      </c>
      <c r="B26" s="21"/>
      <c r="C26" s="55" t="s">
        <v>143</v>
      </c>
      <c r="D26" s="55" t="s">
        <v>144</v>
      </c>
      <c r="E26" s="55" t="s">
        <v>172</v>
      </c>
      <c r="F26" s="55" t="s">
        <v>145</v>
      </c>
      <c r="G26" s="55" t="s">
        <v>180</v>
      </c>
      <c r="H26" s="55" t="s">
        <v>147</v>
      </c>
      <c r="I26" s="55" t="s">
        <v>181</v>
      </c>
      <c r="J26" s="55" t="s">
        <v>182</v>
      </c>
      <c r="K26" s="17"/>
      <c r="L26" s="35"/>
      <c r="M26" s="35"/>
    </row>
    <row r="27" ht="18" customHeight="1" spans="1:14">
      <c r="A27" s="42" t="s">
        <v>157</v>
      </c>
      <c r="B27" s="21"/>
      <c r="C27" s="59" t="s">
        <v>183</v>
      </c>
      <c r="D27" s="60"/>
      <c r="E27" s="60"/>
      <c r="F27" s="60"/>
      <c r="G27" s="37"/>
      <c r="H27" s="38">
        <v>1210</v>
      </c>
      <c r="I27" s="38">
        <v>1760</v>
      </c>
      <c r="J27" s="38">
        <v>2200</v>
      </c>
      <c r="K27" s="17"/>
      <c r="L27" s="35"/>
      <c r="M27" s="35"/>
    </row>
    <row r="28" ht="18" customHeight="1" spans="1:14">
      <c r="A28" s="42" t="s">
        <v>158</v>
      </c>
      <c r="B28" s="21"/>
      <c r="C28" s="61"/>
      <c r="G28" s="62"/>
      <c r="H28" s="63">
        <v>4510</v>
      </c>
      <c r="I28" s="63">
        <v>6490</v>
      </c>
      <c r="J28" s="63">
        <v>8580</v>
      </c>
      <c r="K28" s="17"/>
      <c r="L28" s="35"/>
      <c r="M28" s="35"/>
    </row>
    <row r="29" ht="18" customHeight="1" spans="1:14">
      <c r="A29" s="42" t="s">
        <v>159</v>
      </c>
      <c r="B29" s="21"/>
      <c r="C29" s="41"/>
      <c r="D29" s="2"/>
      <c r="E29" s="2"/>
      <c r="F29" s="2"/>
      <c r="G29" s="4"/>
      <c r="H29" s="38">
        <v>2200</v>
      </c>
      <c r="I29" s="38">
        <v>3080</v>
      </c>
      <c r="J29" s="38">
        <v>3960</v>
      </c>
      <c r="K29" s="17"/>
      <c r="L29" s="35"/>
      <c r="M29" s="35"/>
    </row>
    <row r="30" ht="7.5" customHeight="1"/>
    <row r="31" ht="25.5" customHeight="1" spans="1:14">
      <c r="A31" s="33" t="s">
        <v>141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64"/>
    </row>
    <row r="32" ht="14.25" customHeight="1"/>
    <row r="33" ht="32.25" customHeight="1" spans="1:14">
      <c r="A33" s="65" t="s">
        <v>184</v>
      </c>
      <c r="B33" s="21"/>
      <c r="C33" s="66"/>
      <c r="D33" s="65" t="s">
        <v>185</v>
      </c>
      <c r="E33" s="21"/>
      <c r="F33" s="66"/>
      <c r="G33" s="66"/>
      <c r="H33" s="65" t="s">
        <v>186</v>
      </c>
      <c r="I33" s="21"/>
      <c r="J33" s="66"/>
      <c r="K33" s="65" t="s">
        <v>187</v>
      </c>
      <c r="L33" s="21"/>
      <c r="M33" s="66"/>
      <c r="N33" s="66"/>
    </row>
    <row r="34" ht="27" customHeight="1" spans="1:14">
      <c r="A34" s="6" t="s">
        <v>188</v>
      </c>
      <c r="B34" s="67">
        <v>3000</v>
      </c>
      <c r="C34" s="66"/>
      <c r="D34" s="6" t="s">
        <v>189</v>
      </c>
      <c r="E34" s="67">
        <f>4500*1.1</f>
        <v>4950</v>
      </c>
      <c r="F34" s="66"/>
      <c r="G34" s="66"/>
      <c r="H34" s="67" t="s">
        <v>190</v>
      </c>
      <c r="I34" s="67">
        <f>1800*1.1</f>
        <v>1980</v>
      </c>
      <c r="J34" s="66"/>
      <c r="K34" s="67" t="s">
        <v>191</v>
      </c>
      <c r="L34" s="67">
        <f>1600*1.1</f>
        <v>1760</v>
      </c>
      <c r="M34" s="66"/>
      <c r="N34" s="66"/>
    </row>
    <row r="35" ht="27" customHeight="1" spans="1:14">
      <c r="A35" s="68" t="s">
        <v>192</v>
      </c>
      <c r="B35" s="67">
        <v>4000</v>
      </c>
      <c r="C35" s="66"/>
      <c r="D35" s="67" t="s">
        <v>193</v>
      </c>
      <c r="E35" s="67">
        <f>5500*1.1</f>
        <v>6050</v>
      </c>
      <c r="F35" s="66"/>
      <c r="G35" s="66"/>
      <c r="H35" s="67" t="s">
        <v>194</v>
      </c>
      <c r="I35" s="67">
        <v>2500</v>
      </c>
      <c r="J35" s="66"/>
      <c r="K35" s="67" t="s">
        <v>195</v>
      </c>
      <c r="L35" s="67">
        <f>2000*1.1</f>
        <v>2200</v>
      </c>
      <c r="M35" s="66"/>
      <c r="N35" s="66"/>
    </row>
    <row r="36" ht="14.25" customHeight="1"/>
    <row r="37" ht="14.25" customHeight="1" spans="1:14">
      <c r="A37" s="69" t="s">
        <v>196</v>
      </c>
      <c r="C37" s="70" t="s">
        <v>197</v>
      </c>
      <c r="D37" s="40"/>
      <c r="E37" s="21"/>
      <c r="G37" s="70" t="s">
        <v>198</v>
      </c>
      <c r="H37" s="40"/>
      <c r="I37" s="21"/>
      <c r="K37" t="s">
        <v>199</v>
      </c>
    </row>
    <row r="38" ht="14.25" customHeight="1" spans="1:14">
      <c r="A38" s="68" t="s">
        <v>200</v>
      </c>
      <c r="C38" s="68" t="s">
        <v>201</v>
      </c>
      <c r="D38" s="68" t="s">
        <v>202</v>
      </c>
      <c r="E38" s="68" t="s">
        <v>203</v>
      </c>
      <c r="G38" s="68" t="s">
        <v>204</v>
      </c>
      <c r="H38" s="68" t="s">
        <v>205</v>
      </c>
      <c r="I38" s="68" t="s">
        <v>206</v>
      </c>
    </row>
    <row r="39" ht="14.25" customHeight="1" spans="1:14">
      <c r="A39" s="67">
        <v>4440</v>
      </c>
      <c r="C39" s="67">
        <v>2220</v>
      </c>
      <c r="D39" s="67">
        <v>2960</v>
      </c>
      <c r="E39" s="67">
        <v>4430</v>
      </c>
      <c r="G39" s="67">
        <v>1950</v>
      </c>
      <c r="H39" s="67">
        <v>2750</v>
      </c>
      <c r="I39" s="67">
        <v>3900</v>
      </c>
    </row>
    <row r="40" ht="9.75" customHeight="1" spans="1:14">
      <c r="A40" s="66"/>
      <c r="B40" s="66"/>
      <c r="C40" s="66"/>
      <c r="E40" s="66"/>
      <c r="F40" s="66"/>
      <c r="G40" s="66"/>
      <c r="J40" s="66"/>
      <c r="K40" s="66"/>
      <c r="L40" s="66"/>
    </row>
    <row r="41" ht="14.25" customHeight="1" spans="1:14">
      <c r="A41" s="66" t="s">
        <v>207</v>
      </c>
    </row>
    <row r="42" ht="26.25" customHeight="1" spans="1:14">
      <c r="A42" s="71" t="s">
        <v>208</v>
      </c>
      <c r="B42" s="6" t="s">
        <v>209</v>
      </c>
      <c r="C42" s="6" t="s">
        <v>210</v>
      </c>
      <c r="D42" s="7"/>
      <c r="E42" s="71" t="s">
        <v>211</v>
      </c>
      <c r="F42" s="71" t="s">
        <v>209</v>
      </c>
      <c r="G42" s="6" t="s">
        <v>210</v>
      </c>
      <c r="I42" s="72" t="s">
        <v>212</v>
      </c>
      <c r="J42" s="71" t="s">
        <v>209</v>
      </c>
      <c r="L42" s="72" t="s">
        <v>213</v>
      </c>
      <c r="M42" s="71" t="s">
        <v>209</v>
      </c>
      <c r="N42" s="7"/>
    </row>
    <row r="43" ht="14.25" customHeight="1" spans="1:14">
      <c r="A43" s="16"/>
      <c r="B43" s="67">
        <v>3930</v>
      </c>
      <c r="C43" s="67">
        <v>3840</v>
      </c>
      <c r="D43" s="73"/>
      <c r="E43" s="16"/>
      <c r="F43" s="67">
        <v>5730</v>
      </c>
      <c r="G43" s="67">
        <v>5320</v>
      </c>
      <c r="I43" s="41"/>
      <c r="J43" s="67">
        <v>8110</v>
      </c>
      <c r="L43" s="41"/>
      <c r="M43" s="67">
        <v>3110</v>
      </c>
      <c r="N43" s="73"/>
    </row>
    <row r="44" ht="14.25" customHeight="1"/>
    <row r="45" ht="14.25" customHeight="1" spans="1:14">
      <c r="A45" s="32" t="s">
        <v>214</v>
      </c>
      <c r="C45" s="32" t="s">
        <v>215</v>
      </c>
      <c r="F45" s="15" t="s">
        <v>216</v>
      </c>
      <c r="K45" s="15" t="s">
        <v>217</v>
      </c>
    </row>
    <row r="46" ht="14.25" customHeight="1" spans="1:14">
      <c r="H46" s="70" t="s">
        <v>218</v>
      </c>
      <c r="I46" s="21"/>
      <c r="L46" s="70" t="s">
        <v>219</v>
      </c>
      <c r="M46" s="21"/>
    </row>
    <row r="47" ht="14.25" customHeight="1" spans="1:14">
      <c r="H47" s="74" t="s">
        <v>220</v>
      </c>
      <c r="I47" s="75">
        <v>5350</v>
      </c>
      <c r="L47" s="74" t="s">
        <v>220</v>
      </c>
      <c r="M47" s="75">
        <v>3540</v>
      </c>
    </row>
    <row r="48" ht="14.25" customHeight="1" spans="1:14">
      <c r="H48" s="74" t="s">
        <v>221</v>
      </c>
      <c r="I48" s="14"/>
      <c r="L48" s="74" t="s">
        <v>221</v>
      </c>
      <c r="M48" s="14"/>
    </row>
    <row r="49" ht="14.25" customHeight="1" spans="1:13">
      <c r="H49" s="74" t="s">
        <v>222</v>
      </c>
      <c r="I49" s="16"/>
      <c r="L49" s="74" t="s">
        <v>222</v>
      </c>
      <c r="M49" s="16"/>
    </row>
    <row r="50" ht="14.25" customHeight="1"/>
    <row r="51" ht="28.5" customHeight="1" spans="1:13">
      <c r="A51" s="15" t="s">
        <v>223</v>
      </c>
      <c r="B51" s="76" t="s">
        <v>56</v>
      </c>
      <c r="C51" s="77" t="s">
        <v>57</v>
      </c>
      <c r="D51" s="78" t="s">
        <v>58</v>
      </c>
      <c r="E51" s="78" t="s">
        <v>59</v>
      </c>
      <c r="F51" s="78" t="s">
        <v>60</v>
      </c>
      <c r="G51" s="78" t="s">
        <v>61</v>
      </c>
      <c r="H51" s="78" t="s">
        <v>62</v>
      </c>
      <c r="I51" s="78" t="s">
        <v>63</v>
      </c>
      <c r="J51" s="78" t="s">
        <v>64</v>
      </c>
      <c r="K51" s="78" t="s">
        <v>65</v>
      </c>
      <c r="L51" s="78" t="s">
        <v>66</v>
      </c>
      <c r="M51" s="78" t="s">
        <v>67</v>
      </c>
    </row>
    <row r="52" ht="14.25" customHeight="1" spans="1:13">
      <c r="A52" s="79" t="s">
        <v>224</v>
      </c>
      <c r="B52" s="80">
        <v>2214.3</v>
      </c>
      <c r="C52" s="80">
        <v>2238.5</v>
      </c>
      <c r="D52" s="80">
        <v>2250.6</v>
      </c>
      <c r="E52" s="80">
        <v>2341.35</v>
      </c>
      <c r="F52" s="80">
        <v>2383.7</v>
      </c>
      <c r="G52" s="80">
        <v>2467.19</v>
      </c>
      <c r="H52" s="80">
        <v>2528.9</v>
      </c>
      <c r="I52" s="80">
        <v>2688.62</v>
      </c>
      <c r="J52" s="80">
        <v>2891.9</v>
      </c>
      <c r="K52" s="80">
        <v>3206.5</v>
      </c>
      <c r="L52" s="80">
        <v>3267</v>
      </c>
      <c r="M52" s="80">
        <v>3395.26</v>
      </c>
    </row>
    <row r="53" ht="14.25" customHeight="1" spans="1:13">
      <c r="A53" s="79" t="s">
        <v>225</v>
      </c>
      <c r="B53" s="80">
        <v>3100.02</v>
      </c>
      <c r="C53" s="80">
        <v>3133.9</v>
      </c>
      <c r="D53" s="80">
        <v>3150.84</v>
      </c>
      <c r="E53" s="80">
        <v>3277.89</v>
      </c>
      <c r="F53" s="80">
        <v>3337.18</v>
      </c>
      <c r="G53" s="80">
        <v>3454.55</v>
      </c>
      <c r="H53" s="80">
        <v>3540.46</v>
      </c>
      <c r="I53" s="80">
        <v>3764.31</v>
      </c>
      <c r="J53" s="80">
        <v>4048.66</v>
      </c>
      <c r="K53" s="80">
        <v>4489.1</v>
      </c>
      <c r="L53" s="80">
        <v>4573.8</v>
      </c>
      <c r="M53" s="80">
        <v>4752.88</v>
      </c>
    </row>
    <row r="54" ht="14.25" customHeight="1" spans="1:13">
      <c r="A54" s="79" t="s">
        <v>226</v>
      </c>
      <c r="B54" s="80">
        <v>3719.54</v>
      </c>
      <c r="C54" s="80">
        <v>3760.68</v>
      </c>
      <c r="D54" s="80">
        <v>3781.25</v>
      </c>
      <c r="E54" s="80">
        <v>3933.71</v>
      </c>
      <c r="F54" s="80">
        <v>4005.1</v>
      </c>
      <c r="G54" s="80">
        <v>4145.46</v>
      </c>
      <c r="H54" s="80">
        <v>4248.31</v>
      </c>
      <c r="I54" s="80">
        <v>4516.93</v>
      </c>
      <c r="J54" s="80">
        <v>4858.15</v>
      </c>
      <c r="K54" s="80">
        <v>5386.92</v>
      </c>
      <c r="L54" s="80">
        <v>5488.56</v>
      </c>
      <c r="M54" s="80">
        <v>5703.94</v>
      </c>
    </row>
    <row r="55" ht="14.25" customHeight="1"/>
    <row r="56" ht="14.25" customHeight="1" spans="1:13"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</row>
    <row r="57" ht="14.25" customHeight="1" spans="1:13"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</row>
    <row r="58" ht="14.25" customHeight="1" spans="1:13"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A1:M1"/>
    <mergeCell ref="F3:H3"/>
    <mergeCell ref="I3:K3"/>
    <mergeCell ref="A5:B5"/>
    <mergeCell ref="A6:B6"/>
    <mergeCell ref="A7:B7"/>
    <mergeCell ref="A9:K9"/>
    <mergeCell ref="C10:E10"/>
    <mergeCell ref="F10:H10"/>
    <mergeCell ref="I10:K10"/>
    <mergeCell ref="C11:E11"/>
    <mergeCell ref="F11:H11"/>
    <mergeCell ref="I11:K11"/>
    <mergeCell ref="A12:B12"/>
    <mergeCell ref="C12:E12"/>
    <mergeCell ref="F12:H12"/>
    <mergeCell ref="I12:K12"/>
    <mergeCell ref="A13:B13"/>
    <mergeCell ref="C13:E13"/>
    <mergeCell ref="F13:H13"/>
    <mergeCell ref="I13:K13"/>
    <mergeCell ref="A14:B14"/>
    <mergeCell ref="C14:E14"/>
    <mergeCell ref="F14:H14"/>
    <mergeCell ref="I14:K14"/>
    <mergeCell ref="C15:K15"/>
    <mergeCell ref="A17:M17"/>
    <mergeCell ref="A18:B18"/>
    <mergeCell ref="A19:B19"/>
    <mergeCell ref="A20:B20"/>
    <mergeCell ref="A21:B21"/>
    <mergeCell ref="A22:B22"/>
    <mergeCell ref="A23:B23"/>
    <mergeCell ref="A24:B24"/>
    <mergeCell ref="A26:B26"/>
    <mergeCell ref="A27:B27"/>
    <mergeCell ref="A28:B28"/>
    <mergeCell ref="A29:B29"/>
    <mergeCell ref="A31:M31"/>
    <mergeCell ref="A33:B33"/>
    <mergeCell ref="D33:E33"/>
    <mergeCell ref="H33:I33"/>
    <mergeCell ref="K33:L33"/>
    <mergeCell ref="C37:E37"/>
    <mergeCell ref="G37:I37"/>
    <mergeCell ref="K37:L37"/>
    <mergeCell ref="A41:M41"/>
    <mergeCell ref="A45:B45"/>
    <mergeCell ref="C45:D45"/>
    <mergeCell ref="H46:I46"/>
    <mergeCell ref="L46:M46"/>
    <mergeCell ref="A42:A43"/>
    <mergeCell ref="E42:E43"/>
    <mergeCell ref="I42:I43"/>
    <mergeCell ref="I47:I49"/>
    <mergeCell ref="L42:L43"/>
    <mergeCell ref="M47:M49"/>
    <mergeCell ref="A3:B4"/>
    <mergeCell ref="A10:B11"/>
    <mergeCell ref="C27:G29"/>
  </mergeCells>
  <pageMargins left="0.7" right="0.7" top="0.75" bottom="0.75" header="0" footer="0"/>
  <pageSetup paperSize="9" scale="105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4"/>
  <sheetViews>
    <sheetView workbookViewId="0">
      <selection activeCell="A1" sqref="A1:E1"/>
    </sheetView>
  </sheetViews>
  <sheetFormatPr defaultColWidth="14.4259259259259" defaultRowHeight="15" customHeight="1"/>
  <cols>
    <col min="1" max="1" width="45.712962962963" customWidth="1"/>
    <col min="2" max="2" width="9.13888888888889" customWidth="1"/>
    <col min="3" max="5" width="10.8611111111111" customWidth="1"/>
    <col min="6" max="6" width="10.5740740740741" customWidth="1"/>
    <col min="7" max="8" width="10.5740740740741" hidden="1" customWidth="1"/>
    <col min="9" max="9" width="8.71296296296296" customWidth="1"/>
  </cols>
  <sheetData>
    <row r="1" ht="25.5" customHeight="1" spans="1:9">
      <c r="A1" s="1" t="s">
        <v>227</v>
      </c>
      <c r="B1" s="2"/>
      <c r="C1" s="2"/>
      <c r="D1" s="2"/>
      <c r="E1" s="2"/>
    </row>
    <row r="2" ht="18.75" customHeight="1" spans="1:9">
      <c r="A2" s="3" t="s">
        <v>228</v>
      </c>
      <c r="B2" s="4"/>
      <c r="C2" s="5" t="s">
        <v>229</v>
      </c>
      <c r="D2" s="5" t="s">
        <v>230</v>
      </c>
      <c r="E2" s="6" t="s">
        <v>231</v>
      </c>
      <c r="F2" s="7"/>
      <c r="G2" s="8">
        <f t="shared" ref="G2:H2" si="0">G9+G8+G7*2+G6*3+G5+G4+G3</f>
        <v>20524.415</v>
      </c>
      <c r="H2" s="8">
        <f t="shared" si="0"/>
        <v>24171.19</v>
      </c>
    </row>
    <row r="3" ht="14.25" customHeight="1" spans="1:9">
      <c r="A3" s="9" t="s">
        <v>232</v>
      </c>
      <c r="B3" s="10" t="s">
        <v>233</v>
      </c>
      <c r="C3" s="11">
        <f>G2*0.9</f>
        <v>18471.9735</v>
      </c>
      <c r="D3" s="11">
        <f>C3</f>
        <v>18471.9735</v>
      </c>
      <c r="E3" s="12">
        <f>H2*0.9</f>
        <v>21754.071</v>
      </c>
      <c r="G3" s="13">
        <f>голые!D96</f>
        <v>1992.375</v>
      </c>
      <c r="H3" s="13">
        <f>голые!G96</f>
        <v>2493.315</v>
      </c>
    </row>
    <row r="4" ht="14.25" customHeight="1" spans="1:9">
      <c r="A4" s="9" t="s">
        <v>234</v>
      </c>
      <c r="B4" s="10" t="s">
        <v>233</v>
      </c>
      <c r="C4" s="14"/>
      <c r="D4" s="14"/>
      <c r="E4" s="14"/>
      <c r="G4" s="13">
        <f>голые!D107</f>
        <v>2120.14</v>
      </c>
      <c r="H4" s="13">
        <f>голые!G107</f>
        <v>2338.985</v>
      </c>
    </row>
    <row r="5" ht="14.25" customHeight="1" spans="1:9">
      <c r="A5" s="9" t="s">
        <v>235</v>
      </c>
      <c r="B5" s="10" t="s">
        <v>233</v>
      </c>
      <c r="C5" s="14"/>
      <c r="D5" s="14"/>
      <c r="E5" s="14"/>
      <c r="G5" s="13">
        <f>'50 изоляция'!D159</f>
        <v>1306.8</v>
      </c>
      <c r="H5" s="13">
        <f>'50 изоляция'!G159</f>
        <v>1650.44</v>
      </c>
    </row>
    <row r="6" ht="14.25" customHeight="1" spans="1:9">
      <c r="A6" s="9" t="s">
        <v>236</v>
      </c>
      <c r="B6" s="10" t="s">
        <v>237</v>
      </c>
      <c r="C6" s="14"/>
      <c r="D6" s="14"/>
      <c r="E6" s="14"/>
      <c r="G6" s="13">
        <f>'50 изоляция'!D148</f>
        <v>3073.4</v>
      </c>
      <c r="H6" s="13">
        <f>'50 изоляция'!G148</f>
        <v>3755.84</v>
      </c>
    </row>
    <row r="7" ht="14.25" customHeight="1" spans="1:9">
      <c r="A7" s="9" t="s">
        <v>238</v>
      </c>
      <c r="B7" s="10" t="s">
        <v>239</v>
      </c>
      <c r="C7" s="14"/>
      <c r="D7" s="14"/>
      <c r="E7" s="14"/>
      <c r="G7" s="13">
        <f>Фланцы!E19</f>
        <v>770</v>
      </c>
      <c r="H7" s="13">
        <f t="shared" ref="H7:H8" si="1">G7</f>
        <v>770</v>
      </c>
    </row>
    <row r="8" ht="14.25" customHeight="1" spans="1:9">
      <c r="A8" s="9" t="s">
        <v>240</v>
      </c>
      <c r="B8" s="10" t="s">
        <v>233</v>
      </c>
      <c r="C8" s="14"/>
      <c r="D8" s="14"/>
      <c r="E8" s="14"/>
      <c r="F8" s="15"/>
      <c r="G8" s="15">
        <v>2300</v>
      </c>
      <c r="H8" s="15">
        <f t="shared" si="1"/>
        <v>2300</v>
      </c>
    </row>
    <row r="9" ht="14.25" customHeight="1" spans="1:9">
      <c r="A9" s="9" t="s">
        <v>241</v>
      </c>
      <c r="B9" s="10" t="s">
        <v>233</v>
      </c>
      <c r="C9" s="16"/>
      <c r="D9" s="16"/>
      <c r="E9" s="16"/>
      <c r="G9" s="13">
        <f>'50 изоляция'!D162</f>
        <v>2044.9</v>
      </c>
      <c r="H9" s="13">
        <f>'50 изоляция'!G162</f>
        <v>2580.93</v>
      </c>
    </row>
    <row r="10" ht="21.75" customHeight="1" spans="1:9">
      <c r="A10" s="17"/>
      <c r="B10" s="18"/>
      <c r="C10" s="19"/>
      <c r="D10" s="19"/>
      <c r="E10" s="15"/>
      <c r="F10" s="15"/>
      <c r="G10" s="15"/>
      <c r="H10" s="15"/>
      <c r="I10" s="15"/>
    </row>
    <row r="11" ht="24" customHeight="1" spans="1:9">
      <c r="A11" s="20" t="s">
        <v>242</v>
      </c>
      <c r="B11" s="21"/>
      <c r="C11" s="6" t="s">
        <v>229</v>
      </c>
      <c r="D11" s="6" t="s">
        <v>230</v>
      </c>
      <c r="E11" s="6" t="s">
        <v>231</v>
      </c>
      <c r="G11" s="8">
        <f t="shared" ref="G11:H11" si="2">G21+G20+G19*2+G18*3+G17+G16+G15+G14*2+G13+G12</f>
        <v>33815.315</v>
      </c>
      <c r="H11" s="8">
        <f t="shared" si="2"/>
        <v>39132.055</v>
      </c>
    </row>
    <row r="12" ht="14.25" customHeight="1" spans="1:9">
      <c r="A12" s="9" t="s">
        <v>243</v>
      </c>
      <c r="B12" s="10" t="s">
        <v>233</v>
      </c>
      <c r="C12" s="11">
        <f>G11*0.9</f>
        <v>30433.7835</v>
      </c>
      <c r="D12" s="11">
        <f>C12</f>
        <v>30433.7835</v>
      </c>
      <c r="E12" s="12">
        <f>H11*0.9</f>
        <v>35218.8495</v>
      </c>
      <c r="G12" s="13">
        <f>голые!D108</f>
        <v>2145.44</v>
      </c>
      <c r="H12" s="13">
        <f>голые!G108</f>
        <v>2433.86</v>
      </c>
    </row>
    <row r="13" ht="14.25" customHeight="1" spans="1:9">
      <c r="A13" s="9" t="s">
        <v>244</v>
      </c>
      <c r="B13" s="10" t="s">
        <v>233</v>
      </c>
      <c r="C13" s="14"/>
      <c r="D13" s="14"/>
      <c r="E13" s="14"/>
      <c r="G13" s="13">
        <f>'50 изоляция'!D182</f>
        <v>1465.31</v>
      </c>
      <c r="H13" s="13">
        <f>'50 изоляция'!G182</f>
        <v>1844.04</v>
      </c>
    </row>
    <row r="14" ht="14.25" customHeight="1" spans="1:9">
      <c r="A14" s="9" t="s">
        <v>245</v>
      </c>
      <c r="B14" s="10" t="s">
        <v>239</v>
      </c>
      <c r="C14" s="14"/>
      <c r="D14" s="14"/>
      <c r="E14" s="14"/>
      <c r="G14" s="13">
        <f>G7</f>
        <v>770</v>
      </c>
      <c r="H14" s="13">
        <f>G14</f>
        <v>770</v>
      </c>
    </row>
    <row r="15" ht="14.25" customHeight="1" spans="1:9">
      <c r="A15" s="9" t="s">
        <v>246</v>
      </c>
      <c r="B15" s="10" t="s">
        <v>233</v>
      </c>
      <c r="C15" s="14"/>
      <c r="D15" s="14"/>
      <c r="E15" s="14"/>
      <c r="G15" s="13">
        <f>'50 изоляция'!D171</f>
        <v>3651.78</v>
      </c>
      <c r="H15" s="13">
        <f>'50 изоляция'!G171</f>
        <v>4346.32</v>
      </c>
    </row>
    <row r="16" ht="14.25" customHeight="1" spans="1:9">
      <c r="A16" s="9" t="s">
        <v>247</v>
      </c>
      <c r="B16" s="10" t="s">
        <v>248</v>
      </c>
      <c r="C16" s="14"/>
      <c r="D16" s="14"/>
      <c r="E16" s="14"/>
      <c r="G16" s="13">
        <f>'50 изоляция'!D156</f>
        <v>4800.07</v>
      </c>
      <c r="H16" s="13">
        <f>'50 изоляция'!G156</f>
        <v>5881.81</v>
      </c>
    </row>
    <row r="17" ht="14.25" customHeight="1" spans="1:9">
      <c r="A17" s="9" t="s">
        <v>249</v>
      </c>
      <c r="B17" s="10" t="s">
        <v>248</v>
      </c>
      <c r="C17" s="14"/>
      <c r="D17" s="14"/>
      <c r="E17" s="14"/>
      <c r="G17" s="13">
        <f>Фланцы!D52</f>
        <v>2250.6</v>
      </c>
      <c r="H17" s="13">
        <f>Фланцы!G52</f>
        <v>2467.19</v>
      </c>
    </row>
    <row r="18" ht="14.25" customHeight="1" spans="1:9">
      <c r="A18" s="9" t="s">
        <v>250</v>
      </c>
      <c r="B18" s="10" t="s">
        <v>251</v>
      </c>
      <c r="C18" s="14"/>
      <c r="D18" s="14"/>
      <c r="E18" s="14"/>
      <c r="G18" s="13">
        <f>'50 изоляция'!D148</f>
        <v>3073.4</v>
      </c>
      <c r="H18" s="13">
        <f>'50 изоляция'!G148</f>
        <v>3755.84</v>
      </c>
    </row>
    <row r="19" ht="14.25" customHeight="1" spans="1:9">
      <c r="A19" s="9" t="s">
        <v>252</v>
      </c>
      <c r="B19" s="10" t="s">
        <v>253</v>
      </c>
      <c r="C19" s="14"/>
      <c r="D19" s="14"/>
      <c r="E19" s="14"/>
      <c r="G19" s="15">
        <f>Фланцы!B34</f>
        <v>3000</v>
      </c>
      <c r="H19" s="15">
        <f>G19</f>
        <v>3000</v>
      </c>
    </row>
    <row r="20" ht="14.25" customHeight="1" spans="1:9">
      <c r="A20" s="9" t="s">
        <v>254</v>
      </c>
      <c r="B20" s="10" t="s">
        <v>248</v>
      </c>
      <c r="C20" s="14"/>
      <c r="D20" s="14"/>
      <c r="E20" s="14"/>
      <c r="G20" s="13">
        <f>голые!L45</f>
        <v>697.015</v>
      </c>
      <c r="H20" s="13">
        <f>голые!N45</f>
        <v>770.385</v>
      </c>
    </row>
    <row r="21" ht="14.25" customHeight="1" spans="1:9">
      <c r="A21" s="9" t="s">
        <v>255</v>
      </c>
      <c r="B21" s="10" t="s">
        <v>248</v>
      </c>
      <c r="C21" s="16"/>
      <c r="D21" s="16"/>
      <c r="E21" s="16"/>
      <c r="G21" s="13">
        <f t="shared" ref="G21:H21" si="3">G9</f>
        <v>2044.9</v>
      </c>
      <c r="H21" s="13">
        <f t="shared" si="3"/>
        <v>2580.93</v>
      </c>
    </row>
    <row r="22" ht="21.75" customHeight="1" spans="1:9">
      <c r="A22" s="17"/>
      <c r="B22" s="18"/>
      <c r="C22" s="19"/>
      <c r="D22" s="19"/>
      <c r="E22" s="15"/>
      <c r="F22" s="15"/>
      <c r="G22" s="15"/>
      <c r="H22" s="15"/>
      <c r="I22" s="15"/>
    </row>
    <row r="23" ht="21" customHeight="1" spans="1:9">
      <c r="A23" s="20" t="s">
        <v>256</v>
      </c>
      <c r="B23" s="21"/>
      <c r="C23" s="6" t="s">
        <v>229</v>
      </c>
      <c r="D23" s="6" t="s">
        <v>230</v>
      </c>
      <c r="E23" s="6" t="s">
        <v>231</v>
      </c>
      <c r="G23" s="8">
        <f t="shared" ref="G23:H23" si="4">G30+G29+G28*4+G27*6+G26+G25+G24</f>
        <v>31284.615</v>
      </c>
      <c r="H23" s="8">
        <f t="shared" si="4"/>
        <v>36978.71</v>
      </c>
    </row>
    <row r="24" ht="14.25" customHeight="1" spans="1:9">
      <c r="A24" s="9" t="s">
        <v>257</v>
      </c>
      <c r="B24" s="10" t="s">
        <v>248</v>
      </c>
      <c r="C24" s="11">
        <f>G23*0.9</f>
        <v>28156.1535</v>
      </c>
      <c r="D24" s="11">
        <f>C24</f>
        <v>28156.1535</v>
      </c>
      <c r="E24" s="12">
        <f>H23*0.9</f>
        <v>33280.839</v>
      </c>
      <c r="G24" s="13">
        <f t="shared" ref="G24:H24" si="5">G3</f>
        <v>1992.375</v>
      </c>
      <c r="H24" s="13">
        <f t="shared" si="5"/>
        <v>2493.315</v>
      </c>
    </row>
    <row r="25" ht="14.25" customHeight="1" spans="1:9">
      <c r="A25" s="9" t="s">
        <v>234</v>
      </c>
      <c r="B25" s="10" t="s">
        <v>248</v>
      </c>
      <c r="C25" s="14"/>
      <c r="D25" s="14"/>
      <c r="E25" s="14"/>
      <c r="G25" s="13">
        <f t="shared" ref="G25:H25" si="6">G4</f>
        <v>2120.14</v>
      </c>
      <c r="H25" s="13">
        <f t="shared" si="6"/>
        <v>2338.985</v>
      </c>
    </row>
    <row r="26" ht="14.25" customHeight="1" spans="1:9">
      <c r="A26" s="9" t="s">
        <v>258</v>
      </c>
      <c r="B26" s="10" t="s">
        <v>248</v>
      </c>
      <c r="C26" s="14"/>
      <c r="D26" s="14"/>
      <c r="E26" s="14"/>
      <c r="G26" s="13">
        <f t="shared" ref="G26:H26" si="7">G5</f>
        <v>1306.8</v>
      </c>
      <c r="H26" s="13">
        <f t="shared" si="7"/>
        <v>1650.44</v>
      </c>
    </row>
    <row r="27" ht="14.25" customHeight="1" spans="1:9">
      <c r="A27" s="9" t="s">
        <v>259</v>
      </c>
      <c r="B27" s="10" t="s">
        <v>260</v>
      </c>
      <c r="C27" s="14"/>
      <c r="D27" s="14"/>
      <c r="E27" s="14"/>
      <c r="G27" s="13">
        <f t="shared" ref="G27:H27" si="8">G6</f>
        <v>3073.4</v>
      </c>
      <c r="H27" s="13">
        <f t="shared" si="8"/>
        <v>3755.84</v>
      </c>
    </row>
    <row r="28" ht="14.25" customHeight="1" spans="1:9">
      <c r="A28" s="9" t="s">
        <v>261</v>
      </c>
      <c r="B28" s="10" t="s">
        <v>262</v>
      </c>
      <c r="C28" s="14"/>
      <c r="D28" s="14"/>
      <c r="E28" s="14"/>
      <c r="G28" s="13">
        <f t="shared" ref="G28:H28" si="9">G7</f>
        <v>770</v>
      </c>
      <c r="H28" s="13">
        <f t="shared" si="9"/>
        <v>770</v>
      </c>
    </row>
    <row r="29" ht="14.25" customHeight="1" spans="1:9">
      <c r="A29" s="9" t="s">
        <v>263</v>
      </c>
      <c r="B29" s="10" t="s">
        <v>248</v>
      </c>
      <c r="C29" s="14"/>
      <c r="D29" s="14"/>
      <c r="E29" s="14"/>
      <c r="G29" s="15">
        <f t="shared" ref="G29:H29" si="10">G8</f>
        <v>2300</v>
      </c>
      <c r="H29" s="15">
        <f t="shared" si="10"/>
        <v>2300</v>
      </c>
    </row>
    <row r="30" ht="14.25" customHeight="1" spans="1:9">
      <c r="A30" s="9" t="s">
        <v>264</v>
      </c>
      <c r="B30" s="10" t="s">
        <v>248</v>
      </c>
      <c r="C30" s="16"/>
      <c r="D30" s="16"/>
      <c r="E30" s="16"/>
      <c r="G30" s="13">
        <f t="shared" ref="G30:H30" si="11">G9</f>
        <v>2044.9</v>
      </c>
      <c r="H30" s="13">
        <f t="shared" si="11"/>
        <v>2580.93</v>
      </c>
    </row>
    <row r="31" ht="21.75" customHeight="1" spans="1:9">
      <c r="A31" s="17"/>
      <c r="B31" s="18"/>
      <c r="C31" s="19"/>
      <c r="D31" s="19"/>
      <c r="E31" s="15"/>
      <c r="F31" s="15"/>
      <c r="G31" s="15"/>
      <c r="H31" s="15"/>
      <c r="I31" s="15"/>
    </row>
    <row r="32" ht="22.5" customHeight="1" spans="1:9">
      <c r="A32" s="20" t="s">
        <v>265</v>
      </c>
      <c r="B32" s="21"/>
      <c r="C32" s="6" t="s">
        <v>229</v>
      </c>
      <c r="D32" s="6" t="s">
        <v>230</v>
      </c>
      <c r="E32" s="6" t="s">
        <v>231</v>
      </c>
      <c r="G32" s="8">
        <f t="shared" ref="G32:H32" si="12">G33+G34+G35*2+G36+G37+G38+G39*6+G40*3+G41*2+G42</f>
        <v>46732.53</v>
      </c>
      <c r="H32" s="8">
        <f t="shared" si="12"/>
        <v>54169.96</v>
      </c>
    </row>
    <row r="33" ht="14.25" customHeight="1" spans="1:8">
      <c r="A33" s="9" t="s">
        <v>243</v>
      </c>
      <c r="B33" s="10" t="s">
        <v>248</v>
      </c>
      <c r="C33" s="12">
        <f>G32*0.9</f>
        <v>42059.277</v>
      </c>
      <c r="D33" s="12">
        <f>C33</f>
        <v>42059.277</v>
      </c>
      <c r="E33" s="12">
        <f>H32*0.9</f>
        <v>48752.964</v>
      </c>
      <c r="G33" s="13">
        <f t="shared" ref="G33:H33" si="13">G12</f>
        <v>2145.44</v>
      </c>
      <c r="H33" s="13">
        <f t="shared" si="13"/>
        <v>2433.86</v>
      </c>
    </row>
    <row r="34" ht="14.25" customHeight="1" spans="1:8">
      <c r="A34" s="9" t="s">
        <v>266</v>
      </c>
      <c r="B34" s="10" t="s">
        <v>248</v>
      </c>
      <c r="C34" s="14"/>
      <c r="D34" s="14"/>
      <c r="E34" s="14"/>
      <c r="G34" s="13">
        <f t="shared" ref="G34:H34" si="14">G13</f>
        <v>1465.31</v>
      </c>
      <c r="H34" s="13">
        <f t="shared" si="14"/>
        <v>1844.04</v>
      </c>
    </row>
    <row r="35" ht="14.25" customHeight="1" spans="1:8">
      <c r="A35" s="9" t="s">
        <v>267</v>
      </c>
      <c r="B35" s="10" t="s">
        <v>253</v>
      </c>
      <c r="C35" s="14"/>
      <c r="D35" s="14"/>
      <c r="E35" s="14"/>
      <c r="G35" s="13">
        <f t="shared" ref="G35:H35" si="15">G14</f>
        <v>770</v>
      </c>
      <c r="H35" s="13">
        <f t="shared" si="15"/>
        <v>770</v>
      </c>
    </row>
    <row r="36" ht="14.25" customHeight="1" spans="1:8">
      <c r="A36" s="9" t="s">
        <v>268</v>
      </c>
      <c r="B36" s="10" t="s">
        <v>248</v>
      </c>
      <c r="C36" s="14"/>
      <c r="D36" s="14"/>
      <c r="E36" s="14"/>
      <c r="G36" s="13">
        <f t="shared" ref="G36:H36" si="16">G15</f>
        <v>3651.78</v>
      </c>
      <c r="H36" s="13">
        <f t="shared" si="16"/>
        <v>4346.32</v>
      </c>
    </row>
    <row r="37" ht="14.25" customHeight="1" spans="1:8">
      <c r="A37" s="9" t="s">
        <v>269</v>
      </c>
      <c r="B37" s="10" t="s">
        <v>248</v>
      </c>
      <c r="C37" s="14"/>
      <c r="D37" s="14"/>
      <c r="E37" s="14"/>
      <c r="G37" s="13">
        <f t="shared" ref="G37:H37" si="17">G16</f>
        <v>4800.07</v>
      </c>
      <c r="H37" s="13">
        <f t="shared" si="17"/>
        <v>5881.81</v>
      </c>
    </row>
    <row r="38" ht="14.25" customHeight="1" spans="1:8">
      <c r="A38" s="9" t="s">
        <v>270</v>
      </c>
      <c r="B38" s="10" t="s">
        <v>248</v>
      </c>
      <c r="C38" s="14"/>
      <c r="D38" s="14"/>
      <c r="E38" s="14"/>
      <c r="G38" s="13">
        <f t="shared" ref="G38:H38" si="18">G17</f>
        <v>2250.6</v>
      </c>
      <c r="H38" s="13">
        <f t="shared" si="18"/>
        <v>2467.19</v>
      </c>
    </row>
    <row r="39" ht="14.25" customHeight="1" spans="1:8">
      <c r="A39" s="9" t="s">
        <v>271</v>
      </c>
      <c r="B39" s="10" t="s">
        <v>260</v>
      </c>
      <c r="C39" s="14"/>
      <c r="D39" s="14"/>
      <c r="E39" s="14"/>
      <c r="G39" s="13">
        <f t="shared" ref="G39:H39" si="19">G18</f>
        <v>3073.4</v>
      </c>
      <c r="H39" s="13">
        <f t="shared" si="19"/>
        <v>3755.84</v>
      </c>
    </row>
    <row r="40" ht="14.25" customHeight="1" spans="1:8">
      <c r="A40" s="9" t="s">
        <v>272</v>
      </c>
      <c r="B40" s="10" t="s">
        <v>251</v>
      </c>
      <c r="C40" s="14"/>
      <c r="D40" s="14"/>
      <c r="E40" s="14"/>
      <c r="G40" s="15">
        <f t="shared" ref="G40:H40" si="20">G19</f>
        <v>3000</v>
      </c>
      <c r="H40" s="15">
        <f t="shared" si="20"/>
        <v>3000</v>
      </c>
    </row>
    <row r="41" ht="14.25" customHeight="1" spans="1:8">
      <c r="A41" s="9" t="s">
        <v>273</v>
      </c>
      <c r="B41" s="10" t="s">
        <v>253</v>
      </c>
      <c r="C41" s="14"/>
      <c r="D41" s="14"/>
      <c r="E41" s="14"/>
      <c r="G41" s="13">
        <f t="shared" ref="G41:H41" si="21">G20</f>
        <v>697.015</v>
      </c>
      <c r="H41" s="13">
        <f t="shared" si="21"/>
        <v>770.385</v>
      </c>
    </row>
    <row r="42" ht="14.25" customHeight="1" spans="1:8">
      <c r="A42" s="9" t="s">
        <v>274</v>
      </c>
      <c r="B42" s="10" t="s">
        <v>248</v>
      </c>
      <c r="C42" s="16"/>
      <c r="D42" s="16"/>
      <c r="E42" s="16"/>
      <c r="G42" s="13">
        <f t="shared" ref="G42:H42" si="22">G21</f>
        <v>2044.9</v>
      </c>
      <c r="H42" s="13">
        <f t="shared" si="22"/>
        <v>2580.93</v>
      </c>
    </row>
    <row r="43" ht="14.25" customHeight="1" spans="1:8">
      <c r="A43" s="22"/>
      <c r="B43" s="18"/>
      <c r="C43" s="23"/>
      <c r="D43" s="23"/>
      <c r="E43" s="23"/>
      <c r="G43" s="15">
        <f t="shared" ref="G43:H43" si="23">G22</f>
        <v>0</v>
      </c>
      <c r="H43" s="15">
        <f t="shared" si="23"/>
        <v>0</v>
      </c>
    </row>
    <row r="44" ht="14.25" customHeight="1" spans="1:8">
      <c r="A44" s="22"/>
      <c r="B44" s="18"/>
      <c r="C44" s="23"/>
      <c r="D44" s="23"/>
      <c r="E44" s="23"/>
    </row>
    <row r="45" ht="14.25" customHeight="1" spans="1:8">
      <c r="A45" s="22"/>
      <c r="B45" s="18"/>
      <c r="C45" s="23"/>
      <c r="D45" s="23"/>
      <c r="E45" s="23"/>
    </row>
    <row r="46" ht="25.5" customHeight="1" spans="1:8">
      <c r="A46" s="1" t="s">
        <v>275</v>
      </c>
      <c r="B46" s="2"/>
      <c r="C46" s="2"/>
      <c r="D46" s="2"/>
      <c r="E46" s="2"/>
    </row>
    <row r="47" ht="24" customHeight="1" spans="1:8">
      <c r="A47" s="3" t="s">
        <v>276</v>
      </c>
      <c r="B47" s="4"/>
      <c r="C47" s="5" t="s">
        <v>229</v>
      </c>
      <c r="D47" s="5" t="s">
        <v>230</v>
      </c>
      <c r="E47" s="6" t="s">
        <v>231</v>
      </c>
      <c r="G47" s="13">
        <f t="shared" ref="G47:H47" si="24">G48+G49+G50+G51*2+G52+G53+G54+G55+G56</f>
        <v>34602.105</v>
      </c>
      <c r="H47" s="13">
        <f t="shared" si="24"/>
        <v>39620.195</v>
      </c>
    </row>
    <row r="48" ht="16.5" customHeight="1" spans="1:8">
      <c r="A48" s="24" t="s">
        <v>232</v>
      </c>
      <c r="B48" s="25">
        <v>1</v>
      </c>
      <c r="C48" s="11">
        <f>G47*0.9</f>
        <v>31141.8945</v>
      </c>
      <c r="D48" s="11">
        <f>C48</f>
        <v>31141.8945</v>
      </c>
      <c r="E48" s="12">
        <f>H47*0.9</f>
        <v>35658.1755</v>
      </c>
      <c r="G48" s="13">
        <f t="shared" ref="G48:H48" si="25">G24</f>
        <v>1992.375</v>
      </c>
      <c r="H48" s="13">
        <f t="shared" si="25"/>
        <v>2493.315</v>
      </c>
    </row>
    <row r="49" ht="16.5" customHeight="1" spans="1:9">
      <c r="A49" s="24" t="s">
        <v>234</v>
      </c>
      <c r="B49" s="25">
        <v>1</v>
      </c>
      <c r="C49" s="14"/>
      <c r="D49" s="14"/>
      <c r="E49" s="14"/>
      <c r="G49" s="13">
        <f t="shared" ref="G49:H49" si="26">G25</f>
        <v>2120.14</v>
      </c>
      <c r="H49" s="13">
        <f t="shared" si="26"/>
        <v>2338.985</v>
      </c>
    </row>
    <row r="50" ht="16.5" customHeight="1" spans="1:9">
      <c r="A50" s="24" t="s">
        <v>277</v>
      </c>
      <c r="B50" s="25">
        <v>1</v>
      </c>
      <c r="C50" s="14"/>
      <c r="D50" s="14"/>
      <c r="E50" s="14"/>
      <c r="G50" s="13">
        <f>'50 изоляция'!D229</f>
        <v>1644.5</v>
      </c>
      <c r="H50" s="13">
        <f>'50 изоляция'!G229</f>
        <v>2044.24</v>
      </c>
    </row>
    <row r="51" ht="16.5" customHeight="1" spans="1:9">
      <c r="A51" s="24" t="s">
        <v>278</v>
      </c>
      <c r="B51" s="25">
        <v>2</v>
      </c>
      <c r="C51" s="14"/>
      <c r="D51" s="14"/>
      <c r="E51" s="14"/>
      <c r="G51" s="13">
        <f>'50 изоляция'!D218</f>
        <v>4680.5</v>
      </c>
      <c r="H51" s="13">
        <f>'50 изоляция'!G218</f>
        <v>5615.335</v>
      </c>
    </row>
    <row r="52" ht="16.5" customHeight="1" spans="1:9">
      <c r="A52" s="24" t="s">
        <v>279</v>
      </c>
      <c r="B52" s="25">
        <v>1</v>
      </c>
      <c r="C52" s="14"/>
      <c r="D52" s="14"/>
      <c r="E52" s="14"/>
      <c r="G52" s="13">
        <f>'50 изоляция'!D194</f>
        <v>3798.795</v>
      </c>
      <c r="H52" s="13">
        <f>'50 изоляция'!G194</f>
        <v>4617.25</v>
      </c>
    </row>
    <row r="53" ht="16.5" customHeight="1" spans="1:9">
      <c r="A53" s="24" t="s">
        <v>280</v>
      </c>
      <c r="B53" s="25">
        <v>1</v>
      </c>
      <c r="C53" s="14"/>
      <c r="D53" s="14"/>
      <c r="E53" s="14"/>
      <c r="G53" s="13">
        <f>Фланцы!F14</f>
        <v>3950</v>
      </c>
      <c r="H53" s="13">
        <f>G53</f>
        <v>3950</v>
      </c>
    </row>
    <row r="54" ht="16.5" customHeight="1" spans="1:9">
      <c r="A54" s="24" t="s">
        <v>281</v>
      </c>
      <c r="B54" s="25">
        <v>1</v>
      </c>
      <c r="C54" s="14"/>
      <c r="D54" s="14"/>
      <c r="E54" s="14"/>
      <c r="G54" s="13">
        <f>Фланцы!G7</f>
        <v>6710</v>
      </c>
      <c r="H54" s="13">
        <f>Фланцы!H7</f>
        <v>7040</v>
      </c>
    </row>
    <row r="55" ht="16.5" customHeight="1" spans="1:9">
      <c r="A55" s="9" t="s">
        <v>282</v>
      </c>
      <c r="B55" s="25">
        <v>1</v>
      </c>
      <c r="C55" s="14"/>
      <c r="D55" s="14"/>
      <c r="E55" s="14"/>
      <c r="G55" s="13">
        <f>'50 изоляция'!D209</f>
        <v>2913.295</v>
      </c>
      <c r="H55" s="13">
        <f>'50 изоляция'!G209</f>
        <v>3793.735</v>
      </c>
    </row>
    <row r="56" ht="16.5" customHeight="1" spans="1:9">
      <c r="A56" s="24" t="s">
        <v>283</v>
      </c>
      <c r="B56" s="25">
        <v>1</v>
      </c>
      <c r="C56" s="16"/>
      <c r="D56" s="16"/>
      <c r="E56" s="16"/>
      <c r="G56" s="13">
        <f>Фланцы!F24</f>
        <v>2112</v>
      </c>
      <c r="H56" s="13">
        <f>G56</f>
        <v>2112</v>
      </c>
    </row>
    <row r="57" ht="19.5" customHeight="1" spans="1:9">
      <c r="A57" s="17"/>
      <c r="B57" s="18"/>
      <c r="C57" s="19"/>
      <c r="D57" s="19"/>
      <c r="E57" s="15"/>
      <c r="F57" s="15"/>
      <c r="G57" s="15"/>
      <c r="H57" s="15"/>
      <c r="I57" s="15"/>
    </row>
    <row r="58" ht="27.75" customHeight="1" spans="1:9">
      <c r="A58" s="26" t="s">
        <v>284</v>
      </c>
      <c r="B58" s="21"/>
      <c r="C58" s="6" t="s">
        <v>229</v>
      </c>
      <c r="D58" s="6" t="s">
        <v>230</v>
      </c>
      <c r="E58" s="6" t="s">
        <v>231</v>
      </c>
      <c r="G58" s="13">
        <f t="shared" ref="G58:H58" si="27">G59+G60+G61+G62+G63+G64*2+G65+G66*2+G67+G68+G69</f>
        <v>41873.705</v>
      </c>
      <c r="H58" s="13">
        <f t="shared" si="27"/>
        <v>49743.545</v>
      </c>
    </row>
    <row r="59" ht="14.25" customHeight="1" spans="1:9">
      <c r="A59" s="9" t="s">
        <v>234</v>
      </c>
      <c r="B59" s="27">
        <v>1</v>
      </c>
      <c r="C59" s="12">
        <f>G58*0.9</f>
        <v>37686.3345</v>
      </c>
      <c r="D59" s="12">
        <f>C59</f>
        <v>37686.3345</v>
      </c>
      <c r="E59" s="12">
        <f>H58*0.9</f>
        <v>44769.1905</v>
      </c>
      <c r="G59" s="13">
        <f>голые!D107</f>
        <v>2120.14</v>
      </c>
      <c r="H59" s="13">
        <f>голые!G107</f>
        <v>2338.985</v>
      </c>
    </row>
    <row r="60" ht="14.25" customHeight="1" spans="1:9">
      <c r="A60" s="9" t="s">
        <v>277</v>
      </c>
      <c r="B60" s="27">
        <v>1</v>
      </c>
      <c r="C60" s="14"/>
      <c r="D60" s="14"/>
      <c r="E60" s="14"/>
      <c r="G60" s="13">
        <f t="shared" ref="G60:H60" si="28">G50</f>
        <v>1644.5</v>
      </c>
      <c r="H60" s="13">
        <f t="shared" si="28"/>
        <v>2044.24</v>
      </c>
    </row>
    <row r="61" ht="14.25" customHeight="1" spans="1:9">
      <c r="A61" s="9" t="s">
        <v>285</v>
      </c>
      <c r="B61" s="27">
        <v>1</v>
      </c>
      <c r="C61" s="14"/>
      <c r="D61" s="14"/>
      <c r="E61" s="14"/>
      <c r="G61" s="13">
        <f>'50 изоляция'!D220</f>
        <v>3289</v>
      </c>
      <c r="H61" s="13">
        <f>'50 изоляция'!G218</f>
        <v>5615.335</v>
      </c>
    </row>
    <row r="62" ht="14.25" customHeight="1" spans="1:9">
      <c r="A62" s="9" t="s">
        <v>280</v>
      </c>
      <c r="B62" s="27">
        <v>1</v>
      </c>
      <c r="C62" s="14"/>
      <c r="D62" s="14"/>
      <c r="E62" s="14"/>
      <c r="G62" s="13">
        <f t="shared" ref="G62:H62" si="29">G53</f>
        <v>3950</v>
      </c>
      <c r="H62" s="13">
        <f t="shared" si="29"/>
        <v>3950</v>
      </c>
    </row>
    <row r="63" ht="14.25" customHeight="1" spans="1:9">
      <c r="A63" s="9" t="s">
        <v>286</v>
      </c>
      <c r="B63" s="27">
        <v>1</v>
      </c>
      <c r="C63" s="14"/>
      <c r="D63" s="14"/>
      <c r="E63" s="14"/>
      <c r="G63" s="13">
        <f>'50 изоляция'!D226</f>
        <v>6536.255</v>
      </c>
      <c r="H63" s="13">
        <f>'50 изоляция'!G226</f>
        <v>7879.685</v>
      </c>
    </row>
    <row r="64" ht="14.25" customHeight="1" spans="1:9">
      <c r="A64" s="9" t="s">
        <v>287</v>
      </c>
      <c r="B64" s="27">
        <v>2</v>
      </c>
      <c r="C64" s="14"/>
      <c r="D64" s="14"/>
      <c r="E64" s="14"/>
      <c r="G64" s="15">
        <f>G40</f>
        <v>3000</v>
      </c>
      <c r="H64" s="15">
        <f>G64</f>
        <v>3000</v>
      </c>
    </row>
    <row r="65" ht="14.25" customHeight="1" spans="1:9">
      <c r="A65" s="9" t="s">
        <v>288</v>
      </c>
      <c r="B65" s="27">
        <v>1</v>
      </c>
      <c r="C65" s="14"/>
      <c r="D65" s="14"/>
      <c r="E65" s="14"/>
      <c r="G65" s="13">
        <f>Фланцы!D52</f>
        <v>2250.6</v>
      </c>
      <c r="H65" s="13">
        <f>Фланцы!G52</f>
        <v>2467.19</v>
      </c>
    </row>
    <row r="66" ht="14.25" customHeight="1" spans="1:9">
      <c r="A66" s="9" t="s">
        <v>289</v>
      </c>
      <c r="B66" s="27">
        <v>2</v>
      </c>
      <c r="C66" s="14"/>
      <c r="D66" s="14"/>
      <c r="E66" s="14"/>
      <c r="G66" s="13">
        <f t="shared" ref="G66:H66" si="30">G51</f>
        <v>4680.5</v>
      </c>
      <c r="H66" s="13">
        <f t="shared" si="30"/>
        <v>5615.335</v>
      </c>
    </row>
    <row r="67" ht="14.25" customHeight="1" spans="1:9">
      <c r="A67" s="9" t="s">
        <v>290</v>
      </c>
      <c r="B67" s="27">
        <v>1</v>
      </c>
      <c r="C67" s="14"/>
      <c r="D67" s="14"/>
      <c r="E67" s="14"/>
      <c r="G67" s="13">
        <f t="shared" ref="G67:H67" si="31">G52</f>
        <v>3798.795</v>
      </c>
      <c r="H67" s="13">
        <f t="shared" si="31"/>
        <v>4617.25</v>
      </c>
    </row>
    <row r="68" ht="14.25" customHeight="1" spans="1:9">
      <c r="A68" s="9" t="s">
        <v>273</v>
      </c>
      <c r="B68" s="27">
        <v>1</v>
      </c>
      <c r="C68" s="14"/>
      <c r="D68" s="14"/>
      <c r="E68" s="14"/>
      <c r="G68" s="13">
        <f t="shared" ref="G68:H68" si="32">G41</f>
        <v>697.015</v>
      </c>
      <c r="H68" s="13">
        <f t="shared" si="32"/>
        <v>770.385</v>
      </c>
    </row>
    <row r="69" ht="14.25" customHeight="1" spans="1:9">
      <c r="A69" s="9" t="s">
        <v>291</v>
      </c>
      <c r="B69" s="27">
        <v>1</v>
      </c>
      <c r="C69" s="16"/>
      <c r="D69" s="16"/>
      <c r="E69" s="16"/>
      <c r="G69" s="13">
        <f>'50 изоляция'!D208</f>
        <v>2226.4</v>
      </c>
      <c r="H69" s="13">
        <f>'50 изоляция'!G208</f>
        <v>2829.805</v>
      </c>
    </row>
    <row r="70" ht="21.75" customHeight="1" spans="1:9">
      <c r="A70" s="17"/>
      <c r="B70" s="18"/>
      <c r="C70" s="19"/>
      <c r="D70" s="19"/>
      <c r="E70" s="15"/>
      <c r="F70" s="15"/>
      <c r="G70" s="15"/>
      <c r="H70" s="15"/>
      <c r="I70" s="15"/>
    </row>
    <row r="71" ht="28.5" customHeight="1" spans="1:9">
      <c r="A71" s="26" t="s">
        <v>292</v>
      </c>
      <c r="B71" s="21"/>
      <c r="C71" s="6" t="s">
        <v>229</v>
      </c>
      <c r="D71" s="6" t="s">
        <v>230</v>
      </c>
      <c r="E71" s="6" t="s">
        <v>231</v>
      </c>
      <c r="G71" s="13">
        <f t="shared" ref="G71:H71" si="33">G72+G73+G74+G75*2+G76*4+G77*2+G78+G79+G80</f>
        <v>49948.49</v>
      </c>
      <c r="H71" s="13">
        <f t="shared" si="33"/>
        <v>57421.945</v>
      </c>
    </row>
    <row r="72" ht="14.25" customHeight="1" spans="1:9">
      <c r="A72" s="24" t="s">
        <v>232</v>
      </c>
      <c r="B72" s="25">
        <v>1</v>
      </c>
      <c r="C72" s="12">
        <f>G71*0.9</f>
        <v>44953.641</v>
      </c>
      <c r="D72" s="12">
        <f>C72</f>
        <v>44953.641</v>
      </c>
      <c r="E72" s="12">
        <f>H71*0.9</f>
        <v>51679.7505</v>
      </c>
      <c r="G72" s="13">
        <f t="shared" ref="G72:H72" si="34">G48</f>
        <v>1992.375</v>
      </c>
      <c r="H72" s="13">
        <f t="shared" si="34"/>
        <v>2493.315</v>
      </c>
    </row>
    <row r="73" ht="14.25" customHeight="1" spans="1:9">
      <c r="A73" s="24" t="s">
        <v>234</v>
      </c>
      <c r="B73" s="25">
        <v>1</v>
      </c>
      <c r="C73" s="14"/>
      <c r="D73" s="14"/>
      <c r="E73" s="14"/>
      <c r="G73" s="13">
        <f t="shared" ref="G73:H73" si="35">G49</f>
        <v>2120.14</v>
      </c>
      <c r="H73" s="13">
        <f t="shared" si="35"/>
        <v>2338.985</v>
      </c>
    </row>
    <row r="74" ht="14.25" customHeight="1" spans="1:9">
      <c r="A74" s="24" t="s">
        <v>277</v>
      </c>
      <c r="B74" s="25">
        <v>1</v>
      </c>
      <c r="C74" s="14"/>
      <c r="D74" s="14"/>
      <c r="E74" s="14"/>
      <c r="G74" s="13">
        <f t="shared" ref="G74:H74" si="36">G50</f>
        <v>1644.5</v>
      </c>
      <c r="H74" s="13">
        <f t="shared" si="36"/>
        <v>2044.24</v>
      </c>
    </row>
    <row r="75" ht="14.25" customHeight="1" spans="1:9">
      <c r="A75" s="24" t="s">
        <v>278</v>
      </c>
      <c r="B75" s="25">
        <v>2</v>
      </c>
      <c r="C75" s="14"/>
      <c r="D75" s="14"/>
      <c r="E75" s="14"/>
      <c r="G75" s="13">
        <f t="shared" ref="G75:H75" si="37">G51</f>
        <v>4680.5</v>
      </c>
      <c r="H75" s="13">
        <f t="shared" si="37"/>
        <v>5615.335</v>
      </c>
    </row>
    <row r="76" ht="14.25" customHeight="1" spans="1:9">
      <c r="A76" s="24" t="s">
        <v>279</v>
      </c>
      <c r="B76" s="25">
        <v>4</v>
      </c>
      <c r="C76" s="14"/>
      <c r="D76" s="14"/>
      <c r="E76" s="14"/>
      <c r="G76" s="13">
        <f t="shared" ref="G76:H76" si="38">G52</f>
        <v>3798.795</v>
      </c>
      <c r="H76" s="13">
        <f t="shared" si="38"/>
        <v>4617.25</v>
      </c>
    </row>
    <row r="77" ht="14.25" customHeight="1" spans="1:9">
      <c r="A77" s="24" t="s">
        <v>280</v>
      </c>
      <c r="B77" s="25">
        <v>2</v>
      </c>
      <c r="C77" s="14"/>
      <c r="D77" s="14"/>
      <c r="E77" s="14"/>
      <c r="G77" s="13">
        <f t="shared" ref="G77:H77" si="39">G53</f>
        <v>3950</v>
      </c>
      <c r="H77" s="13">
        <f t="shared" si="39"/>
        <v>3950</v>
      </c>
    </row>
    <row r="78" ht="14.25" customHeight="1" spans="1:9">
      <c r="A78" s="24" t="s">
        <v>281</v>
      </c>
      <c r="B78" s="25">
        <v>1</v>
      </c>
      <c r="C78" s="14"/>
      <c r="D78" s="14"/>
      <c r="E78" s="14"/>
      <c r="G78" s="13">
        <f t="shared" ref="G78:H78" si="40">G54</f>
        <v>6710</v>
      </c>
      <c r="H78" s="13">
        <f t="shared" si="40"/>
        <v>7040</v>
      </c>
    </row>
    <row r="79" ht="14.25" customHeight="1" spans="1:9">
      <c r="A79" s="9" t="s">
        <v>282</v>
      </c>
      <c r="B79" s="25">
        <v>1</v>
      </c>
      <c r="C79" s="14"/>
      <c r="D79" s="14"/>
      <c r="E79" s="14"/>
      <c r="G79" s="13">
        <f t="shared" ref="G79:H79" si="41">G55</f>
        <v>2913.295</v>
      </c>
      <c r="H79" s="13">
        <f t="shared" si="41"/>
        <v>3793.735</v>
      </c>
    </row>
    <row r="80" ht="14.25" customHeight="1" spans="1:9">
      <c r="A80" s="24" t="s">
        <v>283</v>
      </c>
      <c r="B80" s="25">
        <v>1</v>
      </c>
      <c r="C80" s="16"/>
      <c r="D80" s="16"/>
      <c r="E80" s="16"/>
      <c r="G80" s="13">
        <f t="shared" ref="G80:H80" si="42">G56</f>
        <v>2112</v>
      </c>
      <c r="H80" s="13">
        <f t="shared" si="42"/>
        <v>2112</v>
      </c>
    </row>
    <row r="81" ht="19.5" customHeight="1" spans="1:9">
      <c r="A81" s="17"/>
      <c r="B81" s="18"/>
      <c r="C81" s="19"/>
      <c r="D81" s="19"/>
      <c r="E81" s="15"/>
      <c r="F81" s="15"/>
      <c r="G81" s="15"/>
      <c r="H81" s="15"/>
      <c r="I81" s="15"/>
    </row>
    <row r="82" ht="26.25" customHeight="1" spans="1:9">
      <c r="A82" s="26" t="s">
        <v>293</v>
      </c>
      <c r="B82" s="21"/>
      <c r="C82" s="6" t="s">
        <v>229</v>
      </c>
      <c r="D82" s="6" t="s">
        <v>230</v>
      </c>
      <c r="E82" s="6" t="s">
        <v>231</v>
      </c>
      <c r="G82" s="13">
        <f t="shared" ref="G82:H82" si="43">G83+G84+G85+G86+G87+G88*3+G89+G90*2+G91*4+G92*2+G93</f>
        <v>56967.105</v>
      </c>
      <c r="H82" s="13">
        <f t="shared" si="43"/>
        <v>67365.68</v>
      </c>
    </row>
    <row r="83" ht="14.25" customHeight="1" spans="1:9">
      <c r="A83" s="9" t="s">
        <v>234</v>
      </c>
      <c r="B83" s="27">
        <v>1</v>
      </c>
      <c r="C83" s="12">
        <f>G82*0.9</f>
        <v>51270.3945</v>
      </c>
      <c r="D83" s="12">
        <f>C83</f>
        <v>51270.3945</v>
      </c>
      <c r="E83" s="12">
        <f>H82*0.9</f>
        <v>60629.112</v>
      </c>
      <c r="G83" s="13">
        <f t="shared" ref="G83:H83" si="44">G59</f>
        <v>2120.14</v>
      </c>
      <c r="H83" s="13">
        <f t="shared" si="44"/>
        <v>2338.985</v>
      </c>
    </row>
    <row r="84" ht="14.25" customHeight="1" spans="1:9">
      <c r="A84" s="9" t="s">
        <v>277</v>
      </c>
      <c r="B84" s="27">
        <v>1</v>
      </c>
      <c r="C84" s="14"/>
      <c r="D84" s="14"/>
      <c r="E84" s="14"/>
      <c r="G84" s="13">
        <f t="shared" ref="G84:H84" si="45">G60</f>
        <v>1644.5</v>
      </c>
      <c r="H84" s="13">
        <f t="shared" si="45"/>
        <v>2044.24</v>
      </c>
    </row>
    <row r="85" ht="14.25" customHeight="1" spans="1:9">
      <c r="A85" s="9" t="s">
        <v>285</v>
      </c>
      <c r="B85" s="27">
        <v>1</v>
      </c>
      <c r="C85" s="14"/>
      <c r="D85" s="14"/>
      <c r="E85" s="14"/>
      <c r="G85" s="13">
        <f t="shared" ref="G85:H85" si="46">G61</f>
        <v>3289</v>
      </c>
      <c r="H85" s="13">
        <f t="shared" si="46"/>
        <v>5615.335</v>
      </c>
    </row>
    <row r="86" ht="14.25" customHeight="1" spans="1:9">
      <c r="A86" s="9" t="s">
        <v>280</v>
      </c>
      <c r="B86" s="27">
        <v>1</v>
      </c>
      <c r="C86" s="14"/>
      <c r="D86" s="14"/>
      <c r="E86" s="14"/>
      <c r="G86" s="13">
        <f t="shared" ref="G86:H86" si="47">G62</f>
        <v>3950</v>
      </c>
      <c r="H86" s="13">
        <f t="shared" si="47"/>
        <v>3950</v>
      </c>
    </row>
    <row r="87" ht="14.25" customHeight="1" spans="1:9">
      <c r="A87" s="9" t="s">
        <v>286</v>
      </c>
      <c r="B87" s="27">
        <v>1</v>
      </c>
      <c r="C87" s="14"/>
      <c r="D87" s="14"/>
      <c r="E87" s="14"/>
      <c r="G87" s="13">
        <f t="shared" ref="G87:H87" si="48">G63</f>
        <v>6536.255</v>
      </c>
      <c r="H87" s="13">
        <f t="shared" si="48"/>
        <v>7879.685</v>
      </c>
    </row>
    <row r="88" ht="14.25" customHeight="1" spans="1:9">
      <c r="A88" s="9" t="s">
        <v>287</v>
      </c>
      <c r="B88" s="27">
        <v>3</v>
      </c>
      <c r="C88" s="14"/>
      <c r="D88" s="14"/>
      <c r="E88" s="14"/>
      <c r="G88" s="15">
        <f t="shared" ref="G88:H88" si="49">G64</f>
        <v>3000</v>
      </c>
      <c r="H88" s="15">
        <f t="shared" si="49"/>
        <v>3000</v>
      </c>
    </row>
    <row r="89" ht="14.25" customHeight="1" spans="1:9">
      <c r="A89" s="9" t="s">
        <v>288</v>
      </c>
      <c r="B89" s="27">
        <v>1</v>
      </c>
      <c r="C89" s="14"/>
      <c r="D89" s="14"/>
      <c r="E89" s="14"/>
      <c r="G89" s="13">
        <f t="shared" ref="G89:H89" si="50">G65</f>
        <v>2250.6</v>
      </c>
      <c r="H89" s="13">
        <f t="shared" si="50"/>
        <v>2467.19</v>
      </c>
    </row>
    <row r="90" ht="14.25" customHeight="1" spans="1:9">
      <c r="A90" s="9" t="s">
        <v>289</v>
      </c>
      <c r="B90" s="27">
        <v>2</v>
      </c>
      <c r="C90" s="14"/>
      <c r="D90" s="14"/>
      <c r="E90" s="14"/>
      <c r="G90" s="13">
        <f t="shared" ref="G90:H90" si="51">G66</f>
        <v>4680.5</v>
      </c>
      <c r="H90" s="13">
        <f t="shared" si="51"/>
        <v>5615.335</v>
      </c>
    </row>
    <row r="91" ht="14.25" customHeight="1" spans="1:9">
      <c r="A91" s="9" t="s">
        <v>290</v>
      </c>
      <c r="B91" s="27">
        <v>4</v>
      </c>
      <c r="C91" s="14"/>
      <c r="D91" s="14"/>
      <c r="E91" s="14"/>
      <c r="G91" s="13">
        <f t="shared" ref="G91:H91" si="52">G67</f>
        <v>3798.795</v>
      </c>
      <c r="H91" s="13">
        <f t="shared" si="52"/>
        <v>4617.25</v>
      </c>
    </row>
    <row r="92" ht="14.25" customHeight="1" spans="1:9">
      <c r="A92" s="9" t="s">
        <v>273</v>
      </c>
      <c r="B92" s="27">
        <v>2</v>
      </c>
      <c r="C92" s="14"/>
      <c r="D92" s="14"/>
      <c r="E92" s="14"/>
      <c r="G92" s="13">
        <f t="shared" ref="G92:H92" si="53">G68</f>
        <v>697.015</v>
      </c>
      <c r="H92" s="13">
        <f t="shared" si="53"/>
        <v>770.385</v>
      </c>
    </row>
    <row r="93" ht="14.25" customHeight="1" spans="1:9">
      <c r="A93" s="9" t="s">
        <v>291</v>
      </c>
      <c r="B93" s="27">
        <v>1</v>
      </c>
      <c r="C93" s="16"/>
      <c r="D93" s="16"/>
      <c r="E93" s="16"/>
      <c r="G93" s="13">
        <f t="shared" ref="G93:H93" si="54">G69</f>
        <v>2226.4</v>
      </c>
      <c r="H93" s="13">
        <f t="shared" si="54"/>
        <v>2829.805</v>
      </c>
    </row>
    <row r="94" ht="14.25" customHeight="1" spans="1:9">
      <c r="A94" s="22"/>
      <c r="B94" s="28"/>
      <c r="C94" s="19"/>
      <c r="D94" s="19"/>
      <c r="E94" s="19"/>
    </row>
    <row r="95" ht="14.25" customHeight="1" spans="1:9">
      <c r="A95" s="22"/>
      <c r="B95" s="28"/>
      <c r="C95" s="19"/>
      <c r="D95" s="19"/>
      <c r="E95" s="19"/>
    </row>
    <row r="96" ht="14.25" customHeight="1" spans="1:9">
      <c r="A96" s="22"/>
      <c r="B96" s="28"/>
      <c r="C96" s="19"/>
      <c r="D96" s="19"/>
      <c r="E96" s="19"/>
      <c r="F96" s="15"/>
      <c r="G96" s="15"/>
      <c r="H96" s="15"/>
      <c r="I96" s="15"/>
    </row>
    <row r="97" ht="25.5" customHeight="1" spans="1:9">
      <c r="A97" s="1" t="s">
        <v>294</v>
      </c>
      <c r="B97" s="2"/>
      <c r="C97" s="2"/>
      <c r="D97" s="2"/>
      <c r="E97" s="2"/>
    </row>
    <row r="98" ht="24.75" customHeight="1" spans="1:9">
      <c r="A98" s="29" t="s">
        <v>295</v>
      </c>
      <c r="B98" s="4"/>
      <c r="C98" s="5" t="s">
        <v>229</v>
      </c>
      <c r="D98" s="5" t="s">
        <v>230</v>
      </c>
      <c r="E98" s="6" t="s">
        <v>231</v>
      </c>
      <c r="G98" s="13">
        <f t="shared" ref="G98:H98" si="55">G99+G100+G101+G102*3+G103+G104+G105+G106</f>
        <v>40747.455</v>
      </c>
      <c r="H98" s="13">
        <f t="shared" si="55"/>
        <v>46702.91</v>
      </c>
    </row>
    <row r="99" ht="14.25" customHeight="1" spans="1:9">
      <c r="A99" s="24" t="s">
        <v>296</v>
      </c>
      <c r="B99" s="25">
        <v>1</v>
      </c>
      <c r="C99" s="12">
        <f>G98*0.9</f>
        <v>36672.7095</v>
      </c>
      <c r="D99" s="12">
        <f>C99</f>
        <v>36672.7095</v>
      </c>
      <c r="E99" s="12">
        <f>H98*0.9</f>
        <v>42032.619</v>
      </c>
      <c r="G99" s="13">
        <f>голые!D140</f>
        <v>2490.785</v>
      </c>
      <c r="H99" s="13">
        <f>голые!G140</f>
        <v>3116.96</v>
      </c>
    </row>
    <row r="100" ht="14.25" customHeight="1" spans="1:9">
      <c r="A100" s="24" t="s">
        <v>297</v>
      </c>
      <c r="B100" s="25">
        <v>1</v>
      </c>
      <c r="C100" s="14"/>
      <c r="D100" s="14"/>
      <c r="E100" s="14"/>
      <c r="G100" s="13">
        <f>голые!D151</f>
        <v>2650.175</v>
      </c>
      <c r="H100" s="13">
        <f>голые!G151</f>
        <v>2923.415</v>
      </c>
    </row>
    <row r="101" ht="14.25" customHeight="1" spans="1:9">
      <c r="A101" s="24" t="s">
        <v>298</v>
      </c>
      <c r="B101" s="25">
        <v>1</v>
      </c>
      <c r="C101" s="14"/>
      <c r="D101" s="14"/>
      <c r="E101" s="14"/>
      <c r="G101" s="13">
        <f>'50 изоляция'!D369</f>
        <v>1973.4</v>
      </c>
      <c r="H101" s="13">
        <f>'50 изоляция'!G369</f>
        <v>2452.835</v>
      </c>
    </row>
    <row r="102" ht="14.25" customHeight="1" spans="1:9">
      <c r="A102" s="24" t="s">
        <v>299</v>
      </c>
      <c r="B102" s="25">
        <v>3</v>
      </c>
      <c r="C102" s="14"/>
      <c r="D102" s="14"/>
      <c r="E102" s="14"/>
      <c r="G102" s="13">
        <f>'50 изоляция'!D358</f>
        <v>5616.6</v>
      </c>
      <c r="H102" s="13">
        <f>'50 изоляция'!G358</f>
        <v>6738.655</v>
      </c>
    </row>
    <row r="103" ht="14.25" customHeight="1" spans="1:9">
      <c r="A103" s="24" t="s">
        <v>300</v>
      </c>
      <c r="B103" s="25">
        <v>1</v>
      </c>
      <c r="C103" s="14"/>
      <c r="D103" s="14"/>
      <c r="E103" s="14"/>
      <c r="G103" s="13">
        <f>G86+900</f>
        <v>4850</v>
      </c>
      <c r="H103" s="13">
        <f>G103</f>
        <v>4850</v>
      </c>
    </row>
    <row r="104" ht="14.25" customHeight="1" spans="1:9">
      <c r="A104" s="24" t="s">
        <v>281</v>
      </c>
      <c r="B104" s="25">
        <v>1</v>
      </c>
      <c r="C104" s="14"/>
      <c r="D104" s="14"/>
      <c r="E104" s="14"/>
      <c r="G104" s="13">
        <f t="shared" ref="G104:H104" si="56">G78</f>
        <v>6710</v>
      </c>
      <c r="H104" s="13">
        <f t="shared" si="56"/>
        <v>7040</v>
      </c>
    </row>
    <row r="105" ht="14.25" customHeight="1" spans="1:9">
      <c r="A105" s="9" t="s">
        <v>301</v>
      </c>
      <c r="B105" s="25">
        <v>1</v>
      </c>
      <c r="C105" s="14"/>
      <c r="D105" s="14"/>
      <c r="E105" s="14"/>
      <c r="G105" s="13">
        <f t="shared" ref="G105:H105" si="57">G79</f>
        <v>2913.295</v>
      </c>
      <c r="H105" s="13">
        <f t="shared" si="57"/>
        <v>3793.735</v>
      </c>
    </row>
    <row r="106" ht="14.25" customHeight="1" spans="1:9">
      <c r="A106" s="24" t="s">
        <v>302</v>
      </c>
      <c r="B106" s="25">
        <v>1</v>
      </c>
      <c r="C106" s="16"/>
      <c r="D106" s="16"/>
      <c r="E106" s="16"/>
      <c r="G106" s="13">
        <f>Фланцы!H24</f>
        <v>2310</v>
      </c>
      <c r="H106" s="13">
        <f>G106</f>
        <v>2310</v>
      </c>
    </row>
    <row r="107" ht="19.5" customHeight="1" spans="1:9">
      <c r="A107" s="17"/>
      <c r="B107" s="18"/>
      <c r="C107" s="19"/>
      <c r="D107" s="19"/>
      <c r="E107" s="15"/>
      <c r="F107" s="15"/>
      <c r="G107" s="15"/>
      <c r="H107" s="15"/>
      <c r="I107" s="15"/>
    </row>
    <row r="108" ht="28.5" customHeight="1" spans="1:9">
      <c r="A108" s="26" t="s">
        <v>303</v>
      </c>
      <c r="B108" s="21"/>
      <c r="C108" s="6" t="s">
        <v>229</v>
      </c>
      <c r="D108" s="6" t="s">
        <v>230</v>
      </c>
      <c r="E108" s="6" t="s">
        <v>231</v>
      </c>
      <c r="G108" s="13">
        <f t="shared" ref="G108:H108" si="58">G109+G110+G111+G112+G113+G114*2+G115+G116*3+G117+G118</f>
        <v>50874.325</v>
      </c>
      <c r="H108" s="13">
        <f t="shared" si="58"/>
        <v>58847.73</v>
      </c>
    </row>
    <row r="109" ht="14.25" customHeight="1" spans="1:9">
      <c r="A109" s="24" t="s">
        <v>304</v>
      </c>
      <c r="B109" s="25">
        <v>1</v>
      </c>
      <c r="C109" s="12">
        <f>G108*0.9</f>
        <v>45786.8925</v>
      </c>
      <c r="D109" s="12">
        <f>C109</f>
        <v>45786.8925</v>
      </c>
      <c r="E109" s="12">
        <f>H108*0.9</f>
        <v>52962.957</v>
      </c>
      <c r="G109" s="13">
        <f t="shared" ref="G109:H109" si="59">G100</f>
        <v>2650.175</v>
      </c>
      <c r="H109" s="13">
        <f t="shared" si="59"/>
        <v>2923.415</v>
      </c>
    </row>
    <row r="110" ht="14.25" customHeight="1" spans="1:9">
      <c r="A110" s="24" t="s">
        <v>298</v>
      </c>
      <c r="B110" s="25">
        <v>1</v>
      </c>
      <c r="C110" s="14"/>
      <c r="D110" s="14"/>
      <c r="E110" s="14"/>
      <c r="G110" s="13">
        <f t="shared" ref="G110:H110" si="60">G101</f>
        <v>1973.4</v>
      </c>
      <c r="H110" s="13">
        <f t="shared" si="60"/>
        <v>2452.835</v>
      </c>
    </row>
    <row r="111" ht="14.25" customHeight="1" spans="1:9">
      <c r="A111" s="9" t="s">
        <v>305</v>
      </c>
      <c r="B111" s="27">
        <v>1</v>
      </c>
      <c r="C111" s="14"/>
      <c r="D111" s="14"/>
      <c r="E111" s="14"/>
      <c r="G111" s="13">
        <f>'50 изоляция'!D360</f>
        <v>3946.8</v>
      </c>
      <c r="H111" s="13">
        <f>'50 изоляция'!G360</f>
        <v>4930.97</v>
      </c>
    </row>
    <row r="112" ht="14.25" customHeight="1" spans="1:9">
      <c r="A112" s="24" t="s">
        <v>306</v>
      </c>
      <c r="B112" s="25">
        <v>1</v>
      </c>
      <c r="C112" s="14"/>
      <c r="D112" s="14"/>
      <c r="E112" s="14"/>
      <c r="G112" s="13">
        <f>G103</f>
        <v>4850</v>
      </c>
      <c r="H112" s="13">
        <f>G112</f>
        <v>4850</v>
      </c>
    </row>
    <row r="113" ht="14.25" customHeight="1" spans="1:9">
      <c r="A113" s="9" t="s">
        <v>307</v>
      </c>
      <c r="B113" s="27">
        <v>1</v>
      </c>
      <c r="C113" s="14"/>
      <c r="D113" s="14"/>
      <c r="E113" s="14"/>
      <c r="G113" s="13">
        <f>'50 изоляция'!D366</f>
        <v>7843</v>
      </c>
      <c r="H113" s="13">
        <f>'50 изоляция'!G366</f>
        <v>9455.875</v>
      </c>
    </row>
    <row r="114" ht="14.25" customHeight="1" spans="1:9">
      <c r="A114" s="9" t="s">
        <v>308</v>
      </c>
      <c r="B114" s="27">
        <v>2</v>
      </c>
      <c r="C114" s="14"/>
      <c r="D114" s="14"/>
      <c r="E114" s="14"/>
      <c r="G114" s="15">
        <f>G88</f>
        <v>3000</v>
      </c>
      <c r="H114" s="15">
        <f>G114</f>
        <v>3000</v>
      </c>
    </row>
    <row r="115" ht="14.25" customHeight="1" spans="1:9">
      <c r="A115" s="24" t="s">
        <v>309</v>
      </c>
      <c r="B115" s="25">
        <v>1</v>
      </c>
      <c r="C115" s="14"/>
      <c r="D115" s="14"/>
      <c r="E115" s="14"/>
      <c r="G115" s="13">
        <f>Фланцы!D53</f>
        <v>3150.84</v>
      </c>
      <c r="H115" s="13">
        <f>Фланцы!G53</f>
        <v>3454.55</v>
      </c>
    </row>
    <row r="116" ht="14.25" customHeight="1" spans="1:9">
      <c r="A116" s="24" t="s">
        <v>299</v>
      </c>
      <c r="B116" s="25">
        <v>3</v>
      </c>
      <c r="C116" s="14"/>
      <c r="D116" s="14"/>
      <c r="E116" s="14"/>
      <c r="G116" s="13">
        <f t="shared" ref="G116:H116" si="61">G102</f>
        <v>5616.6</v>
      </c>
      <c r="H116" s="13">
        <f t="shared" si="61"/>
        <v>6738.655</v>
      </c>
    </row>
    <row r="117" ht="14.25" customHeight="1" spans="1:9">
      <c r="A117" s="9" t="s">
        <v>273</v>
      </c>
      <c r="B117" s="27">
        <v>1</v>
      </c>
      <c r="C117" s="14"/>
      <c r="D117" s="14"/>
      <c r="E117" s="14"/>
      <c r="G117" s="13">
        <f t="shared" ref="G117:H117" si="62">G92</f>
        <v>697.015</v>
      </c>
      <c r="H117" s="13">
        <f t="shared" si="62"/>
        <v>770.385</v>
      </c>
    </row>
    <row r="118" ht="14.25" customHeight="1" spans="1:9">
      <c r="A118" s="30" t="s">
        <v>282</v>
      </c>
      <c r="B118" s="27">
        <v>1</v>
      </c>
      <c r="C118" s="16"/>
      <c r="D118" s="16"/>
      <c r="E118" s="16"/>
      <c r="G118" s="13">
        <f t="shared" ref="G118:H118" si="63">G105</f>
        <v>2913.295</v>
      </c>
      <c r="H118" s="13">
        <f t="shared" si="63"/>
        <v>3793.735</v>
      </c>
    </row>
    <row r="119" ht="19.5" customHeight="1" spans="1:9">
      <c r="A119" s="17"/>
      <c r="B119" s="18"/>
      <c r="C119" s="19"/>
      <c r="D119" s="19"/>
      <c r="E119" s="15"/>
      <c r="F119" s="15"/>
      <c r="G119" s="15"/>
      <c r="H119" s="15"/>
      <c r="I119" s="15"/>
    </row>
    <row r="120" ht="23.25" customHeight="1" spans="1:9">
      <c r="A120" s="26" t="s">
        <v>310</v>
      </c>
      <c r="B120" s="21"/>
      <c r="C120" s="6" t="s">
        <v>229</v>
      </c>
      <c r="D120" s="6" t="s">
        <v>230</v>
      </c>
      <c r="E120" s="6" t="s">
        <v>231</v>
      </c>
      <c r="G120" s="13">
        <f t="shared" ref="G120:H120" si="64">G121+G122+G123+G124*3+G125*3+G126*2+G127+G128+G129</f>
        <v>59274.635</v>
      </c>
      <c r="H120" s="13">
        <f t="shared" si="64"/>
        <v>68175.01</v>
      </c>
    </row>
    <row r="121" ht="14.25" customHeight="1" spans="1:9">
      <c r="A121" s="30" t="s">
        <v>296</v>
      </c>
      <c r="B121" s="31">
        <v>1</v>
      </c>
      <c r="C121" s="12">
        <f>G120*0.9</f>
        <v>53347.1715</v>
      </c>
      <c r="D121" s="12">
        <f>C121</f>
        <v>53347.1715</v>
      </c>
      <c r="E121" s="12">
        <f>H120*0.9</f>
        <v>61357.509</v>
      </c>
      <c r="G121" s="13">
        <f t="shared" ref="G121:H121" si="65">G99</f>
        <v>2490.785</v>
      </c>
      <c r="H121" s="13">
        <f t="shared" si="65"/>
        <v>3116.96</v>
      </c>
    </row>
    <row r="122" ht="14.25" customHeight="1" spans="1:9">
      <c r="A122" s="30" t="s">
        <v>297</v>
      </c>
      <c r="B122" s="31">
        <v>1</v>
      </c>
      <c r="C122" s="14"/>
      <c r="D122" s="14"/>
      <c r="E122" s="14"/>
      <c r="G122" s="13">
        <f t="shared" ref="G122:H122" si="66">G100</f>
        <v>2650.175</v>
      </c>
      <c r="H122" s="13">
        <f t="shared" si="66"/>
        <v>2923.415</v>
      </c>
    </row>
    <row r="123" ht="14.25" customHeight="1" spans="1:9">
      <c r="A123" s="30" t="s">
        <v>298</v>
      </c>
      <c r="B123" s="31">
        <v>1</v>
      </c>
      <c r="C123" s="14"/>
      <c r="D123" s="14"/>
      <c r="E123" s="14"/>
      <c r="G123" s="13">
        <f t="shared" ref="G123:H123" si="67">G101</f>
        <v>1973.4</v>
      </c>
      <c r="H123" s="13">
        <f t="shared" si="67"/>
        <v>2452.835</v>
      </c>
    </row>
    <row r="124" ht="14.25" customHeight="1" spans="1:9">
      <c r="A124" s="30" t="s">
        <v>311</v>
      </c>
      <c r="B124" s="31">
        <v>3</v>
      </c>
      <c r="C124" s="14"/>
      <c r="D124" s="14"/>
      <c r="E124" s="14"/>
      <c r="G124" s="13">
        <f t="shared" ref="G124:H124" si="68">G102</f>
        <v>5616.6</v>
      </c>
      <c r="H124" s="13">
        <f t="shared" si="68"/>
        <v>6738.655</v>
      </c>
    </row>
    <row r="125" ht="14.25" customHeight="1" spans="1:9">
      <c r="A125" s="30" t="s">
        <v>312</v>
      </c>
      <c r="B125" s="31">
        <v>3</v>
      </c>
      <c r="C125" s="14"/>
      <c r="D125" s="14"/>
      <c r="E125" s="14"/>
      <c r="G125" s="13">
        <f>'50 изоляция'!D334</f>
        <v>4559.06</v>
      </c>
      <c r="H125" s="13">
        <f>'50 изоляция'!G334</f>
        <v>5540.7</v>
      </c>
    </row>
    <row r="126" ht="14.25" customHeight="1" spans="1:9">
      <c r="A126" s="30" t="s">
        <v>313</v>
      </c>
      <c r="B126" s="31">
        <v>2</v>
      </c>
      <c r="C126" s="14"/>
      <c r="D126" s="14"/>
      <c r="E126" s="14"/>
      <c r="G126" s="13">
        <f t="shared" ref="G126:H126" si="69">G103</f>
        <v>4850</v>
      </c>
      <c r="H126" s="13">
        <f t="shared" si="69"/>
        <v>4850</v>
      </c>
    </row>
    <row r="127" ht="14.25" customHeight="1" spans="1:9">
      <c r="A127" s="30" t="s">
        <v>281</v>
      </c>
      <c r="B127" s="31">
        <v>1</v>
      </c>
      <c r="C127" s="14"/>
      <c r="D127" s="14"/>
      <c r="E127" s="14"/>
      <c r="G127" s="13">
        <f t="shared" ref="G127:H127" si="70">G104</f>
        <v>6710</v>
      </c>
      <c r="H127" s="13">
        <f t="shared" si="70"/>
        <v>7040</v>
      </c>
    </row>
    <row r="128" ht="14.25" customHeight="1" spans="1:9">
      <c r="A128" s="30" t="s">
        <v>282</v>
      </c>
      <c r="B128" s="31">
        <v>1</v>
      </c>
      <c r="C128" s="14"/>
      <c r="D128" s="14"/>
      <c r="E128" s="14"/>
      <c r="G128" s="13">
        <f t="shared" ref="G128:H128" si="71">G105</f>
        <v>2913.295</v>
      </c>
      <c r="H128" s="13">
        <f t="shared" si="71"/>
        <v>3793.735</v>
      </c>
    </row>
    <row r="129" ht="14.25" customHeight="1" spans="1:9">
      <c r="A129" s="24" t="s">
        <v>302</v>
      </c>
      <c r="B129" s="31">
        <v>1</v>
      </c>
      <c r="C129" s="16"/>
      <c r="D129" s="16"/>
      <c r="E129" s="16"/>
      <c r="G129" s="13">
        <f t="shared" ref="G129:H129" si="72">G106</f>
        <v>2310</v>
      </c>
      <c r="H129" s="13">
        <f t="shared" si="72"/>
        <v>2310</v>
      </c>
    </row>
    <row r="130" ht="19.5" customHeight="1" spans="1:9">
      <c r="A130" s="17"/>
      <c r="B130" s="18"/>
      <c r="C130" s="19"/>
      <c r="D130" s="19"/>
      <c r="E130" s="15"/>
      <c r="F130" s="15"/>
      <c r="G130" s="15"/>
      <c r="H130" s="15"/>
      <c r="I130" s="15"/>
    </row>
    <row r="131" ht="27" customHeight="1" spans="1:9">
      <c r="A131" s="26" t="s">
        <v>314</v>
      </c>
      <c r="B131" s="21"/>
      <c r="C131" s="6" t="s">
        <v>229</v>
      </c>
      <c r="D131" s="6" t="s">
        <v>230</v>
      </c>
      <c r="E131" s="6" t="s">
        <v>231</v>
      </c>
      <c r="G131" s="13">
        <f t="shared" ref="G131:H131" si="73">G132+G133+G134+G135+G136+G137*3+G138+G139*3+G140*3+G141*2+G142</f>
        <v>68248.52</v>
      </c>
      <c r="H131" s="13">
        <f t="shared" si="73"/>
        <v>79240.215</v>
      </c>
    </row>
    <row r="132" ht="14.25" customHeight="1" spans="1:9">
      <c r="A132" s="24" t="s">
        <v>304</v>
      </c>
      <c r="B132" s="25">
        <v>1</v>
      </c>
      <c r="C132" s="12">
        <f>G131*0.9</f>
        <v>61423.668</v>
      </c>
      <c r="D132" s="12">
        <f>C132</f>
        <v>61423.668</v>
      </c>
      <c r="E132" s="12">
        <f>H131*0.9</f>
        <v>71316.1935</v>
      </c>
      <c r="G132" s="13">
        <f t="shared" ref="G132:H132" si="74">G109</f>
        <v>2650.175</v>
      </c>
      <c r="H132" s="13">
        <f t="shared" si="74"/>
        <v>2923.415</v>
      </c>
    </row>
    <row r="133" ht="14.25" customHeight="1" spans="1:9">
      <c r="A133" s="24" t="s">
        <v>298</v>
      </c>
      <c r="B133" s="25">
        <v>1</v>
      </c>
      <c r="C133" s="14"/>
      <c r="D133" s="14"/>
      <c r="E133" s="14"/>
      <c r="G133" s="13">
        <f t="shared" ref="G133:H133" si="75">G110</f>
        <v>1973.4</v>
      </c>
      <c r="H133" s="13">
        <f t="shared" si="75"/>
        <v>2452.835</v>
      </c>
    </row>
    <row r="134" ht="14.25" customHeight="1" spans="1:9">
      <c r="A134" s="9" t="s">
        <v>305</v>
      </c>
      <c r="B134" s="27">
        <v>1</v>
      </c>
      <c r="C134" s="14"/>
      <c r="D134" s="14"/>
      <c r="E134" s="14"/>
      <c r="G134" s="13">
        <f t="shared" ref="G134:H134" si="76">G111</f>
        <v>3946.8</v>
      </c>
      <c r="H134" s="13">
        <f t="shared" si="76"/>
        <v>4930.97</v>
      </c>
    </row>
    <row r="135" ht="14.25" customHeight="1" spans="1:9">
      <c r="A135" s="24" t="s">
        <v>306</v>
      </c>
      <c r="B135" s="25">
        <v>1</v>
      </c>
      <c r="C135" s="14"/>
      <c r="D135" s="14"/>
      <c r="E135" s="14"/>
      <c r="G135" s="13">
        <f t="shared" ref="G135:H135" si="77">G112</f>
        <v>4850</v>
      </c>
      <c r="H135" s="13">
        <f t="shared" si="77"/>
        <v>4850</v>
      </c>
    </row>
    <row r="136" ht="14.25" customHeight="1" spans="1:9">
      <c r="A136" s="9" t="s">
        <v>307</v>
      </c>
      <c r="B136" s="27">
        <v>1</v>
      </c>
      <c r="C136" s="14"/>
      <c r="D136" s="14"/>
      <c r="E136" s="14"/>
      <c r="G136" s="13">
        <f t="shared" ref="G136:H136" si="78">G113</f>
        <v>7843</v>
      </c>
      <c r="H136" s="13">
        <f t="shared" si="78"/>
        <v>9455.875</v>
      </c>
    </row>
    <row r="137" ht="14.25" customHeight="1" spans="1:9">
      <c r="A137" s="9" t="s">
        <v>308</v>
      </c>
      <c r="B137" s="27">
        <v>3</v>
      </c>
      <c r="C137" s="14"/>
      <c r="D137" s="14"/>
      <c r="E137" s="14"/>
      <c r="G137" s="15">
        <f t="shared" ref="G137:H137" si="79">G114</f>
        <v>3000</v>
      </c>
      <c r="H137" s="15">
        <f t="shared" si="79"/>
        <v>3000</v>
      </c>
    </row>
    <row r="138" ht="14.25" customHeight="1" spans="1:9">
      <c r="A138" s="24" t="s">
        <v>309</v>
      </c>
      <c r="B138" s="25">
        <v>1</v>
      </c>
      <c r="C138" s="14"/>
      <c r="D138" s="14"/>
      <c r="E138" s="14"/>
      <c r="G138" s="13">
        <f t="shared" ref="G138:H138" si="80">G115</f>
        <v>3150.84</v>
      </c>
      <c r="H138" s="13">
        <f t="shared" si="80"/>
        <v>3454.55</v>
      </c>
    </row>
    <row r="139" ht="14.25" customHeight="1" spans="1:9">
      <c r="A139" s="24" t="s">
        <v>299</v>
      </c>
      <c r="B139" s="25">
        <v>3</v>
      </c>
      <c r="C139" s="14"/>
      <c r="D139" s="14"/>
      <c r="E139" s="14"/>
      <c r="G139" s="13">
        <f t="shared" ref="G139:H139" si="81">G116</f>
        <v>5616.6</v>
      </c>
      <c r="H139" s="13">
        <f t="shared" si="81"/>
        <v>6738.655</v>
      </c>
    </row>
    <row r="140" ht="14.25" customHeight="1" spans="1:9">
      <c r="A140" s="24" t="s">
        <v>315</v>
      </c>
      <c r="B140" s="27">
        <v>3</v>
      </c>
      <c r="C140" s="14"/>
      <c r="D140" s="14"/>
      <c r="E140" s="14"/>
      <c r="G140" s="13">
        <f>'50 изоляция'!D334</f>
        <v>4559.06</v>
      </c>
      <c r="H140" s="13">
        <f>'50 изоляция'!G334</f>
        <v>5540.7</v>
      </c>
    </row>
    <row r="141" ht="14.25" customHeight="1" spans="1:9">
      <c r="A141" s="9" t="s">
        <v>273</v>
      </c>
      <c r="B141" s="27">
        <v>2</v>
      </c>
      <c r="C141" s="14"/>
      <c r="D141" s="14"/>
      <c r="E141" s="14"/>
      <c r="G141" s="13">
        <f t="shared" ref="G141:H141" si="82">G117</f>
        <v>697.015</v>
      </c>
      <c r="H141" s="13">
        <f t="shared" si="82"/>
        <v>770.385</v>
      </c>
    </row>
    <row r="142" ht="14.25" customHeight="1" spans="1:9">
      <c r="A142" s="30" t="s">
        <v>282</v>
      </c>
      <c r="B142" s="27">
        <v>1</v>
      </c>
      <c r="C142" s="16"/>
      <c r="D142" s="16"/>
      <c r="E142" s="16"/>
      <c r="G142" s="13">
        <f t="shared" ref="G142:H142" si="83">G118</f>
        <v>2913.295</v>
      </c>
      <c r="H142" s="13">
        <f t="shared" si="83"/>
        <v>3793.735</v>
      </c>
    </row>
    <row r="143" ht="14.25" customHeight="1" spans="1:9">
      <c r="B143" s="32"/>
    </row>
    <row r="144" ht="14.25" customHeight="1" spans="1:9">
      <c r="B144" s="32"/>
    </row>
    <row r="145" ht="14.25" customHeight="1" spans="2:2">
      <c r="B145" s="32"/>
    </row>
    <row r="146" ht="14.25" customHeight="1" spans="2:2">
      <c r="B146" s="32"/>
    </row>
    <row r="147" ht="14.25" customHeight="1" spans="2:2">
      <c r="B147" s="32"/>
    </row>
    <row r="148" ht="14.25" customHeight="1" spans="2:2">
      <c r="B148" s="32"/>
    </row>
    <row r="149" ht="14.25" customHeight="1" spans="2:2">
      <c r="B149" s="32"/>
    </row>
    <row r="150" ht="14.25" customHeight="1" spans="2:2">
      <c r="B150" s="32"/>
    </row>
    <row r="151" ht="14.25" customHeight="1" spans="2:2">
      <c r="B151" s="32"/>
    </row>
    <row r="152" ht="14.25" customHeight="1" spans="2:2">
      <c r="B152" s="32"/>
    </row>
    <row r="153" ht="14.25" customHeight="1" spans="2:2">
      <c r="B153" s="32"/>
    </row>
    <row r="154" ht="14.25" customHeight="1" spans="2:2">
      <c r="B154" s="32"/>
    </row>
    <row r="155" ht="14.25" customHeight="1" spans="2:2">
      <c r="B155" s="32"/>
    </row>
    <row r="156" ht="14.25" customHeight="1" spans="2:2">
      <c r="B156" s="32"/>
    </row>
    <row r="157" ht="14.25" customHeight="1" spans="2:2">
      <c r="B157" s="32"/>
    </row>
    <row r="158" ht="14.25" customHeight="1" spans="2:2">
      <c r="B158" s="32"/>
    </row>
    <row r="159" ht="14.25" customHeight="1" spans="2:2">
      <c r="B159" s="32"/>
    </row>
    <row r="160" ht="14.25" customHeight="1" spans="2:2">
      <c r="B160" s="32"/>
    </row>
    <row r="161" ht="14.25" customHeight="1" spans="2:2">
      <c r="B161" s="32"/>
    </row>
    <row r="162" ht="14.25" customHeight="1" spans="2:2">
      <c r="B162" s="32"/>
    </row>
    <row r="163" ht="14.25" customHeight="1" spans="2:2">
      <c r="B163" s="32"/>
    </row>
    <row r="164" ht="14.25" customHeight="1" spans="2:2">
      <c r="B164" s="32"/>
    </row>
    <row r="165" ht="14.25" customHeight="1" spans="2:2">
      <c r="B165" s="32"/>
    </row>
    <row r="166" ht="14.25" customHeight="1" spans="2:2">
      <c r="B166" s="32"/>
    </row>
    <row r="167" ht="14.25" customHeight="1" spans="2:2">
      <c r="B167" s="32"/>
    </row>
    <row r="168" ht="14.25" customHeight="1" spans="2:2">
      <c r="B168" s="32"/>
    </row>
    <row r="169" ht="14.25" customHeight="1" spans="2:2">
      <c r="B169" s="32"/>
    </row>
    <row r="170" ht="14.25" customHeight="1" spans="2:2">
      <c r="B170" s="32"/>
    </row>
    <row r="171" ht="14.25" customHeight="1" spans="2:2">
      <c r="B171" s="32"/>
    </row>
    <row r="172" ht="14.25" customHeight="1" spans="2:2">
      <c r="B172" s="32"/>
    </row>
    <row r="173" ht="14.25" customHeight="1" spans="2:2">
      <c r="B173" s="32"/>
    </row>
    <row r="174" ht="14.25" customHeight="1" spans="2:2">
      <c r="B174" s="32"/>
    </row>
    <row r="175" ht="14.25" customHeight="1" spans="2:2">
      <c r="B175" s="32"/>
    </row>
    <row r="176" ht="14.25" customHeight="1" spans="2:2">
      <c r="B176" s="32"/>
    </row>
    <row r="177" ht="14.25" customHeight="1" spans="2:2">
      <c r="B177" s="32"/>
    </row>
    <row r="178" ht="14.25" customHeight="1" spans="2:2">
      <c r="B178" s="32"/>
    </row>
    <row r="179" ht="14.25" customHeight="1" spans="2:2">
      <c r="B179" s="32"/>
    </row>
    <row r="180" ht="14.25" customHeight="1" spans="2:2">
      <c r="B180" s="32"/>
    </row>
    <row r="181" ht="14.25" customHeight="1" spans="2:2">
      <c r="B181" s="32"/>
    </row>
    <row r="182" ht="14.25" customHeight="1" spans="2:2">
      <c r="B182" s="32"/>
    </row>
    <row r="183" ht="14.25" customHeight="1" spans="2:2">
      <c r="B183" s="32"/>
    </row>
    <row r="184" ht="14.25" customHeight="1" spans="2:2">
      <c r="B184" s="32"/>
    </row>
    <row r="185" ht="14.25" customHeight="1" spans="2:2">
      <c r="B185" s="32"/>
    </row>
    <row r="186" ht="14.25" customHeight="1" spans="2:2">
      <c r="B186" s="32"/>
    </row>
    <row r="187" ht="14.25" customHeight="1" spans="2:2">
      <c r="B187" s="32"/>
    </row>
    <row r="188" ht="14.25" customHeight="1" spans="2:2">
      <c r="B188" s="32"/>
    </row>
    <row r="189" ht="14.25" customHeight="1" spans="2:2">
      <c r="B189" s="32"/>
    </row>
    <row r="190" ht="14.25" customHeight="1" spans="2:2">
      <c r="B190" s="32"/>
    </row>
    <row r="191" ht="14.25" customHeight="1" spans="2:2">
      <c r="B191" s="32"/>
    </row>
    <row r="192" ht="14.25" customHeight="1" spans="2:2">
      <c r="B192" s="32"/>
    </row>
    <row r="193" ht="14.25" customHeight="1" spans="2:2">
      <c r="B193" s="32"/>
    </row>
    <row r="194" ht="14.25" customHeight="1" spans="2:2">
      <c r="B194" s="32"/>
    </row>
    <row r="195" ht="14.25" customHeight="1" spans="2:2">
      <c r="B195" s="32"/>
    </row>
    <row r="196" ht="14.25" customHeight="1" spans="2:2">
      <c r="B196" s="32"/>
    </row>
    <row r="197" ht="14.25" customHeight="1" spans="2:2">
      <c r="B197" s="32"/>
    </row>
    <row r="198" ht="14.25" customHeight="1" spans="2:2">
      <c r="B198" s="32"/>
    </row>
    <row r="199" ht="14.25" customHeight="1" spans="2:2">
      <c r="B199" s="32"/>
    </row>
    <row r="200" ht="14.25" customHeight="1" spans="2:2">
      <c r="B200" s="32"/>
    </row>
    <row r="201" ht="14.25" customHeight="1" spans="2:2">
      <c r="B201" s="32"/>
    </row>
    <row r="202" ht="14.25" customHeight="1" spans="2:2">
      <c r="B202" s="32"/>
    </row>
    <row r="203" ht="14.25" customHeight="1" spans="2:2">
      <c r="B203" s="32"/>
    </row>
    <row r="204" ht="14.25" customHeight="1" spans="2:2">
      <c r="B204" s="32"/>
    </row>
    <row r="205" ht="14.25" customHeight="1" spans="2:2">
      <c r="B205" s="32"/>
    </row>
    <row r="206" ht="14.25" customHeight="1" spans="2:2">
      <c r="B206" s="32"/>
    </row>
    <row r="207" ht="14.25" customHeight="1" spans="2:2">
      <c r="B207" s="32"/>
    </row>
    <row r="208" ht="14.25" customHeight="1" spans="2:2">
      <c r="B208" s="32"/>
    </row>
    <row r="209" ht="14.25" customHeight="1" spans="2:2">
      <c r="B209" s="32"/>
    </row>
    <row r="210" ht="14.25" customHeight="1" spans="2:2">
      <c r="B210" s="32"/>
    </row>
    <row r="211" ht="14.25" customHeight="1" spans="2:2">
      <c r="B211" s="32"/>
    </row>
    <row r="212" ht="14.25" customHeight="1" spans="2:2">
      <c r="B212" s="32"/>
    </row>
    <row r="213" ht="14.25" customHeight="1" spans="2:2">
      <c r="B213" s="32"/>
    </row>
    <row r="214" ht="14.25" customHeight="1" spans="2:2">
      <c r="B214" s="32"/>
    </row>
    <row r="215" ht="14.25" customHeight="1" spans="2:2">
      <c r="B215" s="32"/>
    </row>
    <row r="216" ht="14.25" customHeight="1" spans="2:2">
      <c r="B216" s="32"/>
    </row>
    <row r="217" ht="14.25" customHeight="1" spans="2:2">
      <c r="B217" s="32"/>
    </row>
    <row r="218" ht="14.25" customHeight="1" spans="2:2">
      <c r="B218" s="32"/>
    </row>
    <row r="219" ht="14.25" customHeight="1" spans="2:2">
      <c r="B219" s="32"/>
    </row>
    <row r="220" ht="14.25" customHeight="1" spans="2:2">
      <c r="B220" s="32"/>
    </row>
    <row r="221" ht="14.25" customHeight="1" spans="2:2">
      <c r="B221" s="32"/>
    </row>
    <row r="222" ht="14.25" customHeight="1" spans="2:2">
      <c r="B222" s="32"/>
    </row>
    <row r="223" ht="14.25" customHeight="1" spans="2:2">
      <c r="B223" s="32"/>
    </row>
    <row r="224" ht="14.25" customHeight="1" spans="2:2">
      <c r="B224" s="32"/>
    </row>
    <row r="225" ht="14.25" customHeight="1" spans="2:2">
      <c r="B225" s="32"/>
    </row>
    <row r="226" ht="14.25" customHeight="1" spans="2:2">
      <c r="B226" s="32"/>
    </row>
    <row r="227" ht="14.25" customHeight="1" spans="2:2">
      <c r="B227" s="32"/>
    </row>
    <row r="228" ht="14.25" customHeight="1" spans="2:2">
      <c r="B228" s="32"/>
    </row>
    <row r="229" ht="14.25" customHeight="1" spans="2:2">
      <c r="B229" s="32"/>
    </row>
    <row r="230" ht="14.25" customHeight="1" spans="2:2">
      <c r="B230" s="32"/>
    </row>
    <row r="231" ht="14.25" customHeight="1" spans="2:2">
      <c r="B231" s="32"/>
    </row>
    <row r="232" ht="14.25" customHeight="1" spans="2:2">
      <c r="B232" s="32"/>
    </row>
    <row r="233" ht="14.25" customHeight="1" spans="2:2">
      <c r="B233" s="32"/>
    </row>
    <row r="234" ht="14.25" customHeight="1" spans="2:2">
      <c r="B234" s="32"/>
    </row>
    <row r="235" ht="14.25" customHeight="1" spans="2:2">
      <c r="B235" s="32"/>
    </row>
    <row r="236" ht="14.25" customHeight="1" spans="2:2">
      <c r="B236" s="32"/>
    </row>
    <row r="237" ht="14.25" customHeight="1" spans="2:2">
      <c r="B237" s="32"/>
    </row>
    <row r="238" ht="14.25" customHeight="1" spans="2:2">
      <c r="B238" s="32"/>
    </row>
    <row r="239" ht="14.25" customHeight="1" spans="2:2">
      <c r="B239" s="32"/>
    </row>
    <row r="240" ht="14.25" customHeight="1" spans="2:2">
      <c r="B240" s="32"/>
    </row>
    <row r="241" ht="14.25" customHeight="1" spans="2:2">
      <c r="B241" s="32"/>
    </row>
    <row r="242" ht="14.25" customHeight="1" spans="2:2">
      <c r="B242" s="32"/>
    </row>
    <row r="243" ht="14.25" customHeight="1" spans="2:2">
      <c r="B243" s="32"/>
    </row>
    <row r="244" ht="14.25" customHeight="1" spans="2:2">
      <c r="B244" s="32"/>
    </row>
    <row r="245" ht="14.25" customHeight="1" spans="2:2">
      <c r="B245" s="32"/>
    </row>
    <row r="246" ht="14.25" customHeight="1" spans="2:2">
      <c r="B246" s="32"/>
    </row>
    <row r="247" ht="14.25" customHeight="1" spans="2:2">
      <c r="B247" s="32"/>
    </row>
    <row r="248" ht="14.25" customHeight="1" spans="2:2">
      <c r="B248" s="32"/>
    </row>
    <row r="249" ht="14.25" customHeight="1" spans="2:2">
      <c r="B249" s="32"/>
    </row>
    <row r="250" ht="14.25" customHeight="1" spans="2:2">
      <c r="B250" s="32"/>
    </row>
    <row r="251" ht="14.25" customHeight="1" spans="2:2">
      <c r="B251" s="32"/>
    </row>
    <row r="252" ht="14.25" customHeight="1" spans="2:2">
      <c r="B252" s="32"/>
    </row>
    <row r="253" ht="14.25" customHeight="1" spans="2:2">
      <c r="B253" s="32"/>
    </row>
    <row r="254" ht="14.25" customHeight="1" spans="2:2">
      <c r="B254" s="32"/>
    </row>
    <row r="255" ht="14.25" customHeight="1" spans="2:2">
      <c r="B255" s="32"/>
    </row>
    <row r="256" ht="14.25" customHeight="1" spans="2:2">
      <c r="B256" s="32"/>
    </row>
    <row r="257" ht="14.25" customHeight="1" spans="2:2">
      <c r="B257" s="32"/>
    </row>
    <row r="258" ht="14.25" customHeight="1" spans="2:2">
      <c r="B258" s="32"/>
    </row>
    <row r="259" ht="14.25" customHeight="1" spans="2:2">
      <c r="B259" s="32"/>
    </row>
    <row r="260" ht="14.25" customHeight="1" spans="2:2">
      <c r="B260" s="32"/>
    </row>
    <row r="261" ht="14.25" customHeight="1" spans="2:2">
      <c r="B261" s="32"/>
    </row>
    <row r="262" ht="14.25" customHeight="1" spans="2:2">
      <c r="B262" s="32"/>
    </row>
    <row r="263" ht="14.25" customHeight="1" spans="2:2">
      <c r="B263" s="32"/>
    </row>
    <row r="264" ht="14.25" customHeight="1" spans="2:2">
      <c r="B264" s="32"/>
    </row>
    <row r="265" ht="14.25" customHeight="1" spans="2:2">
      <c r="B265" s="32"/>
    </row>
    <row r="266" ht="14.25" customHeight="1" spans="2:2">
      <c r="B266" s="32"/>
    </row>
    <row r="267" ht="14.25" customHeight="1" spans="2:2">
      <c r="B267" s="32"/>
    </row>
    <row r="268" ht="14.25" customHeight="1" spans="2:2">
      <c r="B268" s="32"/>
    </row>
    <row r="269" ht="14.25" customHeight="1" spans="2:2">
      <c r="B269" s="32"/>
    </row>
    <row r="270" ht="14.25" customHeight="1" spans="2:2">
      <c r="B270" s="32"/>
    </row>
    <row r="271" ht="14.25" customHeight="1" spans="2:2">
      <c r="B271" s="32"/>
    </row>
    <row r="272" ht="14.25" customHeight="1" spans="2:2">
      <c r="B272" s="32"/>
    </row>
    <row r="273" ht="14.25" customHeight="1" spans="2:2">
      <c r="B273" s="32"/>
    </row>
    <row r="274" ht="14.25" customHeight="1" spans="2:2">
      <c r="B274" s="32"/>
    </row>
    <row r="275" ht="14.25" customHeight="1" spans="2:2">
      <c r="B275" s="32"/>
    </row>
    <row r="276" ht="14.25" customHeight="1" spans="2:2">
      <c r="B276" s="32"/>
    </row>
    <row r="277" ht="14.25" customHeight="1" spans="2:2">
      <c r="B277" s="32"/>
    </row>
    <row r="278" ht="14.25" customHeight="1" spans="2:2">
      <c r="B278" s="32"/>
    </row>
    <row r="279" ht="14.25" customHeight="1" spans="2:2">
      <c r="B279" s="32"/>
    </row>
    <row r="280" ht="14.25" customHeight="1" spans="2:2">
      <c r="B280" s="32"/>
    </row>
    <row r="281" ht="14.25" customHeight="1" spans="2:2">
      <c r="B281" s="32"/>
    </row>
    <row r="282" ht="14.25" customHeight="1" spans="2:2">
      <c r="B282" s="32"/>
    </row>
    <row r="283" ht="14.25" customHeight="1" spans="2:2">
      <c r="B283" s="32"/>
    </row>
    <row r="284" ht="14.25" customHeight="1" spans="2:2">
      <c r="B284" s="32"/>
    </row>
    <row r="285" ht="14.25" customHeight="1" spans="2:2">
      <c r="B285" s="32"/>
    </row>
    <row r="286" ht="14.25" customHeight="1" spans="2:2">
      <c r="B286" s="32"/>
    </row>
    <row r="287" ht="14.25" customHeight="1" spans="2:2">
      <c r="B287" s="32"/>
    </row>
    <row r="288" ht="14.25" customHeight="1" spans="2:2">
      <c r="B288" s="32"/>
    </row>
    <row r="289" ht="14.25" customHeight="1" spans="2:2">
      <c r="B289" s="32"/>
    </row>
    <row r="290" ht="14.25" customHeight="1" spans="2:2">
      <c r="B290" s="32"/>
    </row>
    <row r="291" ht="14.25" customHeight="1" spans="2:2">
      <c r="B291" s="32"/>
    </row>
    <row r="292" ht="14.25" customHeight="1" spans="2:2">
      <c r="B292" s="32"/>
    </row>
    <row r="293" ht="14.25" customHeight="1" spans="2:2">
      <c r="B293" s="32"/>
    </row>
    <row r="294" ht="14.25" customHeight="1" spans="2:2">
      <c r="B294" s="32"/>
    </row>
    <row r="295" ht="14.25" customHeight="1" spans="2:2">
      <c r="B295" s="32"/>
    </row>
    <row r="296" ht="14.25" customHeight="1" spans="2:2">
      <c r="B296" s="32"/>
    </row>
    <row r="297" ht="14.25" customHeight="1" spans="2:2">
      <c r="B297" s="32"/>
    </row>
    <row r="298" ht="14.25" customHeight="1" spans="2:2">
      <c r="B298" s="32"/>
    </row>
    <row r="299" ht="14.25" customHeight="1" spans="2:2">
      <c r="B299" s="32"/>
    </row>
    <row r="300" ht="14.25" customHeight="1" spans="2:2">
      <c r="B300" s="32"/>
    </row>
    <row r="301" ht="14.25" customHeight="1" spans="2:2">
      <c r="B301" s="32"/>
    </row>
    <row r="302" ht="14.25" customHeight="1" spans="2:2">
      <c r="B302" s="32"/>
    </row>
    <row r="303" ht="14.25" customHeight="1" spans="2:2">
      <c r="B303" s="32"/>
    </row>
    <row r="304" ht="14.25" customHeight="1" spans="2:2">
      <c r="B304" s="32"/>
    </row>
    <row r="305" ht="14.25" customHeight="1" spans="2:2">
      <c r="B305" s="32"/>
    </row>
    <row r="306" ht="14.25" customHeight="1" spans="2:2">
      <c r="B306" s="32"/>
    </row>
    <row r="307" ht="14.25" customHeight="1" spans="2:2">
      <c r="B307" s="32"/>
    </row>
    <row r="308" ht="14.25" customHeight="1" spans="2:2">
      <c r="B308" s="32"/>
    </row>
    <row r="309" ht="14.25" customHeight="1" spans="2:2">
      <c r="B309" s="32"/>
    </row>
    <row r="310" ht="14.25" customHeight="1" spans="2:2">
      <c r="B310" s="32"/>
    </row>
    <row r="311" ht="14.25" customHeight="1" spans="2:2">
      <c r="B311" s="32"/>
    </row>
    <row r="312" ht="14.25" customHeight="1" spans="2:2">
      <c r="B312" s="32"/>
    </row>
    <row r="313" ht="14.25" customHeight="1" spans="2:2">
      <c r="B313" s="32"/>
    </row>
    <row r="314" ht="14.25" customHeight="1" spans="2:2">
      <c r="B314" s="32"/>
    </row>
    <row r="315" ht="14.25" customHeight="1" spans="2:2">
      <c r="B315" s="32"/>
    </row>
    <row r="316" ht="14.25" customHeight="1" spans="2:2">
      <c r="B316" s="32"/>
    </row>
    <row r="317" ht="14.25" customHeight="1" spans="2:2">
      <c r="B317" s="32"/>
    </row>
    <row r="318" ht="14.25" customHeight="1" spans="2:2">
      <c r="B318" s="32"/>
    </row>
    <row r="319" ht="14.25" customHeight="1" spans="2:2">
      <c r="B319" s="32"/>
    </row>
    <row r="320" ht="14.25" customHeight="1" spans="2:2">
      <c r="B320" s="32"/>
    </row>
    <row r="321" ht="14.25" customHeight="1" spans="2:2">
      <c r="B321" s="32"/>
    </row>
    <row r="322" ht="14.25" customHeight="1" spans="2:2">
      <c r="B322" s="32"/>
    </row>
    <row r="323" ht="14.25" customHeight="1" spans="2:2">
      <c r="B323" s="32"/>
    </row>
    <row r="324" ht="14.25" customHeight="1" spans="2:2">
      <c r="B324" s="32"/>
    </row>
    <row r="325" ht="14.25" customHeight="1" spans="2:2">
      <c r="B325" s="32"/>
    </row>
    <row r="326" ht="14.25" customHeight="1" spans="2:2">
      <c r="B326" s="32"/>
    </row>
    <row r="327" ht="14.25" customHeight="1" spans="2:2">
      <c r="B327" s="32"/>
    </row>
    <row r="328" ht="14.25" customHeight="1" spans="2:2">
      <c r="B328" s="32"/>
    </row>
    <row r="329" ht="14.25" customHeight="1" spans="2:2">
      <c r="B329" s="32"/>
    </row>
    <row r="330" ht="14.25" customHeight="1" spans="2:2">
      <c r="B330" s="32"/>
    </row>
    <row r="331" ht="14.25" customHeight="1" spans="2:2">
      <c r="B331" s="32"/>
    </row>
    <row r="332" ht="14.25" customHeight="1" spans="2:2">
      <c r="B332" s="32"/>
    </row>
    <row r="333" ht="14.25" customHeight="1" spans="2:2">
      <c r="B333" s="32"/>
    </row>
    <row r="334" ht="14.25" customHeight="1" spans="2:2">
      <c r="B334" s="32"/>
    </row>
    <row r="335" ht="14.25" customHeight="1" spans="2:2">
      <c r="B335" s="32"/>
    </row>
    <row r="336" ht="14.25" customHeight="1" spans="2:2">
      <c r="B336" s="32"/>
    </row>
    <row r="337" ht="14.25" customHeight="1" spans="2:2">
      <c r="B337" s="32"/>
    </row>
    <row r="338" ht="14.25" customHeight="1" spans="2:2">
      <c r="B338" s="32"/>
    </row>
    <row r="339" ht="14.25" customHeight="1" spans="2:2">
      <c r="B339" s="32"/>
    </row>
    <row r="340" ht="14.25" customHeight="1" spans="2:2">
      <c r="B340" s="32"/>
    </row>
    <row r="341" ht="14.25" customHeight="1" spans="2:2">
      <c r="B341" s="32"/>
    </row>
    <row r="342" ht="14.25" customHeight="1" spans="2:2">
      <c r="B342" s="32"/>
    </row>
    <row r="343" ht="14.25" customHeight="1" spans="2:2">
      <c r="B343" s="32"/>
    </row>
    <row r="344" ht="14.25" customHeight="1" spans="2:2">
      <c r="B344" s="32"/>
    </row>
    <row r="345" ht="14.25" customHeight="1" spans="2:2">
      <c r="B345" s="32"/>
    </row>
    <row r="346" ht="14.25" customHeight="1" spans="2:2">
      <c r="B346" s="32"/>
    </row>
    <row r="347" ht="14.25" customHeight="1" spans="2:2">
      <c r="B347" s="32"/>
    </row>
    <row r="348" ht="14.25" customHeight="1" spans="2:2">
      <c r="B348" s="32"/>
    </row>
    <row r="349" ht="14.25" customHeight="1" spans="2:2">
      <c r="B349" s="32"/>
    </row>
    <row r="350" ht="14.25" customHeight="1" spans="2:2">
      <c r="B350" s="32"/>
    </row>
    <row r="351" ht="14.25" customHeight="1" spans="2:2">
      <c r="B351" s="32"/>
    </row>
    <row r="352" ht="14.25" customHeight="1" spans="2:2">
      <c r="B352" s="32"/>
    </row>
    <row r="353" ht="14.25" customHeight="1" spans="2:2">
      <c r="B353" s="32"/>
    </row>
    <row r="354" ht="14.25" customHeight="1" spans="2:2">
      <c r="B354" s="32"/>
    </row>
    <row r="355" ht="14.25" customHeight="1" spans="2:2">
      <c r="B355" s="32"/>
    </row>
    <row r="356" ht="14.25" customHeight="1" spans="2:2">
      <c r="B356" s="32"/>
    </row>
    <row r="357" ht="14.25" customHeight="1" spans="2:2">
      <c r="B357" s="32"/>
    </row>
    <row r="358" ht="14.25" customHeight="1" spans="2:2">
      <c r="B358" s="32"/>
    </row>
    <row r="359" ht="14.25" customHeight="1" spans="2:2">
      <c r="B359" s="32"/>
    </row>
    <row r="360" ht="14.25" customHeight="1" spans="2:2">
      <c r="B360" s="32"/>
    </row>
    <row r="361" ht="14.25" customHeight="1" spans="2:2">
      <c r="B361" s="32"/>
    </row>
    <row r="362" ht="14.25" customHeight="1" spans="2:2">
      <c r="B362" s="32"/>
    </row>
    <row r="363" ht="14.25" customHeight="1" spans="2:2">
      <c r="B363" s="32"/>
    </row>
    <row r="364" ht="14.25" customHeight="1" spans="2:2">
      <c r="B364" s="32"/>
    </row>
    <row r="365" ht="14.25" customHeight="1" spans="2:2">
      <c r="B365" s="32"/>
    </row>
    <row r="366" ht="14.25" customHeight="1" spans="2:2">
      <c r="B366" s="32"/>
    </row>
    <row r="367" ht="14.25" customHeight="1" spans="2:2">
      <c r="B367" s="32"/>
    </row>
    <row r="368" ht="14.25" customHeight="1" spans="2:2">
      <c r="B368" s="32"/>
    </row>
    <row r="369" ht="14.25" customHeight="1" spans="2:2">
      <c r="B369" s="32"/>
    </row>
    <row r="370" ht="14.25" customHeight="1" spans="2:2">
      <c r="B370" s="32"/>
    </row>
    <row r="371" ht="14.25" customHeight="1" spans="2:2">
      <c r="B371" s="32"/>
    </row>
    <row r="372" ht="14.25" customHeight="1" spans="2:2">
      <c r="B372" s="32"/>
    </row>
    <row r="373" ht="14.25" customHeight="1" spans="2:2">
      <c r="B373" s="32"/>
    </row>
    <row r="374" ht="14.25" customHeight="1" spans="2:2">
      <c r="B374" s="32"/>
    </row>
    <row r="375" ht="14.25" customHeight="1" spans="2:2">
      <c r="B375" s="32"/>
    </row>
    <row r="376" ht="14.25" customHeight="1" spans="2:2">
      <c r="B376" s="32"/>
    </row>
    <row r="377" ht="14.25" customHeight="1" spans="2:2">
      <c r="B377" s="32"/>
    </row>
    <row r="378" ht="14.25" customHeight="1" spans="2:2">
      <c r="B378" s="32"/>
    </row>
    <row r="379" ht="14.25" customHeight="1" spans="2:2">
      <c r="B379" s="32"/>
    </row>
    <row r="380" ht="14.25" customHeight="1" spans="2:2">
      <c r="B380" s="32"/>
    </row>
    <row r="381" ht="14.25" customHeight="1" spans="2:2">
      <c r="B381" s="32"/>
    </row>
    <row r="382" ht="14.25" customHeight="1" spans="2:2">
      <c r="B382" s="32"/>
    </row>
    <row r="383" ht="14.25" customHeight="1" spans="2:2">
      <c r="B383" s="32"/>
    </row>
    <row r="384" ht="14.25" customHeight="1" spans="2:2">
      <c r="B384" s="32"/>
    </row>
    <row r="385" ht="14.25" customHeight="1" spans="2:2">
      <c r="B385" s="32"/>
    </row>
    <row r="386" ht="14.25" customHeight="1" spans="2:2">
      <c r="B386" s="32"/>
    </row>
    <row r="387" ht="14.25" customHeight="1" spans="2:2">
      <c r="B387" s="32"/>
    </row>
    <row r="388" ht="14.25" customHeight="1" spans="2:2">
      <c r="B388" s="32"/>
    </row>
    <row r="389" ht="14.25" customHeight="1" spans="2:2">
      <c r="B389" s="32"/>
    </row>
    <row r="390" ht="14.25" customHeight="1" spans="2:2">
      <c r="B390" s="32"/>
    </row>
    <row r="391" ht="14.25" customHeight="1" spans="2:2">
      <c r="B391" s="32"/>
    </row>
    <row r="392" ht="14.25" customHeight="1" spans="2:2">
      <c r="B392" s="32"/>
    </row>
    <row r="393" ht="14.25" customHeight="1" spans="2:2">
      <c r="B393" s="32"/>
    </row>
    <row r="394" ht="14.25" customHeight="1" spans="2:2">
      <c r="B394" s="32"/>
    </row>
    <row r="395" ht="14.25" customHeight="1" spans="2:2">
      <c r="B395" s="32"/>
    </row>
    <row r="396" ht="14.25" customHeight="1" spans="2:2">
      <c r="B396" s="32"/>
    </row>
    <row r="397" ht="14.25" customHeight="1" spans="2:2">
      <c r="B397" s="32"/>
    </row>
    <row r="398" ht="14.25" customHeight="1" spans="2:2">
      <c r="B398" s="32"/>
    </row>
    <row r="399" ht="14.25" customHeight="1" spans="2:2">
      <c r="B399" s="32"/>
    </row>
    <row r="400" ht="14.25" customHeight="1" spans="2:2">
      <c r="B400" s="32"/>
    </row>
    <row r="401" ht="14.25" customHeight="1" spans="2:2">
      <c r="B401" s="32"/>
    </row>
    <row r="402" ht="14.25" customHeight="1" spans="2:2">
      <c r="B402" s="32"/>
    </row>
    <row r="403" ht="14.25" customHeight="1" spans="2:2">
      <c r="B403" s="32"/>
    </row>
    <row r="404" ht="14.25" customHeight="1" spans="2:2">
      <c r="B404" s="32"/>
    </row>
    <row r="405" ht="14.25" customHeight="1" spans="2:2">
      <c r="B405" s="32"/>
    </row>
    <row r="406" ht="14.25" customHeight="1" spans="2:2">
      <c r="B406" s="32"/>
    </row>
    <row r="407" ht="14.25" customHeight="1" spans="2:2">
      <c r="B407" s="32"/>
    </row>
    <row r="408" ht="14.25" customHeight="1" spans="2:2">
      <c r="B408" s="32"/>
    </row>
    <row r="409" ht="14.25" customHeight="1" spans="2:2">
      <c r="B409" s="32"/>
    </row>
    <row r="410" ht="14.25" customHeight="1" spans="2:2">
      <c r="B410" s="32"/>
    </row>
    <row r="411" ht="14.25" customHeight="1" spans="2:2">
      <c r="B411" s="32"/>
    </row>
    <row r="412" ht="14.25" customHeight="1" spans="2:2">
      <c r="B412" s="32"/>
    </row>
    <row r="413" ht="14.25" customHeight="1" spans="2:2">
      <c r="B413" s="32"/>
    </row>
    <row r="414" ht="14.25" customHeight="1" spans="2:2">
      <c r="B414" s="32"/>
    </row>
    <row r="415" ht="14.25" customHeight="1" spans="2:2">
      <c r="B415" s="32"/>
    </row>
    <row r="416" ht="14.25" customHeight="1" spans="2:2">
      <c r="B416" s="32"/>
    </row>
    <row r="417" ht="14.25" customHeight="1" spans="2:2">
      <c r="B417" s="32"/>
    </row>
    <row r="418" ht="14.25" customHeight="1" spans="2:2">
      <c r="B418" s="32"/>
    </row>
    <row r="419" ht="14.25" customHeight="1" spans="2:2">
      <c r="B419" s="32"/>
    </row>
    <row r="420" ht="14.25" customHeight="1" spans="2:2">
      <c r="B420" s="32"/>
    </row>
    <row r="421" ht="14.25" customHeight="1" spans="2:2">
      <c r="B421" s="32"/>
    </row>
    <row r="422" ht="14.25" customHeight="1" spans="2:2">
      <c r="B422" s="32"/>
    </row>
    <row r="423" ht="14.25" customHeight="1" spans="2:2">
      <c r="B423" s="32"/>
    </row>
    <row r="424" ht="14.25" customHeight="1" spans="2:2">
      <c r="B424" s="32"/>
    </row>
    <row r="425" ht="14.25" customHeight="1" spans="2:2">
      <c r="B425" s="32"/>
    </row>
    <row r="426" ht="14.25" customHeight="1" spans="2:2">
      <c r="B426" s="32"/>
    </row>
    <row r="427" ht="14.25" customHeight="1" spans="2:2">
      <c r="B427" s="32"/>
    </row>
    <row r="428" ht="14.25" customHeight="1" spans="2:2">
      <c r="B428" s="32"/>
    </row>
    <row r="429" ht="14.25" customHeight="1" spans="2:2">
      <c r="B429" s="32"/>
    </row>
    <row r="430" ht="14.25" customHeight="1" spans="2:2">
      <c r="B430" s="32"/>
    </row>
    <row r="431" ht="14.25" customHeight="1" spans="2:2">
      <c r="B431" s="32"/>
    </row>
    <row r="432" ht="14.25" customHeight="1" spans="2:2">
      <c r="B432" s="32"/>
    </row>
    <row r="433" ht="14.25" customHeight="1" spans="2:2">
      <c r="B433" s="32"/>
    </row>
    <row r="434" ht="14.25" customHeight="1" spans="2:2">
      <c r="B434" s="32"/>
    </row>
    <row r="435" ht="14.25" customHeight="1" spans="2:2">
      <c r="B435" s="32"/>
    </row>
    <row r="436" ht="14.25" customHeight="1" spans="2:2">
      <c r="B436" s="32"/>
    </row>
    <row r="437" ht="14.25" customHeight="1" spans="2:2">
      <c r="B437" s="32"/>
    </row>
    <row r="438" ht="14.25" customHeight="1" spans="2:2">
      <c r="B438" s="32"/>
    </row>
    <row r="439" ht="14.25" customHeight="1" spans="2:2">
      <c r="B439" s="32"/>
    </row>
    <row r="440" ht="14.25" customHeight="1" spans="2:2">
      <c r="B440" s="32"/>
    </row>
    <row r="441" ht="14.25" customHeight="1" spans="2:2">
      <c r="B441" s="32"/>
    </row>
    <row r="442" ht="14.25" customHeight="1" spans="2:2">
      <c r="B442" s="32"/>
    </row>
    <row r="443" ht="14.25" customHeight="1" spans="2:2">
      <c r="B443" s="32"/>
    </row>
    <row r="444" ht="14.25" customHeight="1" spans="2:2">
      <c r="B444" s="32"/>
    </row>
    <row r="445" ht="14.25" customHeight="1" spans="2:2">
      <c r="B445" s="32"/>
    </row>
    <row r="446" ht="14.25" customHeight="1" spans="2:2">
      <c r="B446" s="32"/>
    </row>
    <row r="447" ht="14.25" customHeight="1" spans="2:2">
      <c r="B447" s="32"/>
    </row>
    <row r="448" ht="14.25" customHeight="1" spans="2:2">
      <c r="B448" s="32"/>
    </row>
    <row r="449" ht="14.25" customHeight="1" spans="2:2">
      <c r="B449" s="32"/>
    </row>
    <row r="450" ht="14.25" customHeight="1" spans="2:2">
      <c r="B450" s="32"/>
    </row>
    <row r="451" ht="14.25" customHeight="1" spans="2:2">
      <c r="B451" s="32"/>
    </row>
    <row r="452" ht="14.25" customHeight="1" spans="2:2">
      <c r="B452" s="32"/>
    </row>
    <row r="453" ht="14.25" customHeight="1" spans="2:2">
      <c r="B453" s="32"/>
    </row>
    <row r="454" ht="14.25" customHeight="1" spans="2:2">
      <c r="B454" s="32"/>
    </row>
    <row r="455" ht="14.25" customHeight="1" spans="2:2">
      <c r="B455" s="32"/>
    </row>
    <row r="456" ht="14.25" customHeight="1" spans="2:2">
      <c r="B456" s="32"/>
    </row>
    <row r="457" ht="14.25" customHeight="1" spans="2:2">
      <c r="B457" s="32"/>
    </row>
    <row r="458" ht="14.25" customHeight="1" spans="2:2">
      <c r="B458" s="32"/>
    </row>
    <row r="459" ht="14.25" customHeight="1" spans="2:2">
      <c r="B459" s="32"/>
    </row>
    <row r="460" ht="14.25" customHeight="1" spans="2:2">
      <c r="B460" s="32"/>
    </row>
    <row r="461" ht="14.25" customHeight="1" spans="2:2">
      <c r="B461" s="32"/>
    </row>
    <row r="462" ht="14.25" customHeight="1" spans="2:2">
      <c r="B462" s="32"/>
    </row>
    <row r="463" ht="14.25" customHeight="1" spans="2:2">
      <c r="B463" s="32"/>
    </row>
    <row r="464" ht="14.25" customHeight="1" spans="2:2">
      <c r="B464" s="32"/>
    </row>
    <row r="465" ht="14.25" customHeight="1" spans="2:2">
      <c r="B465" s="32"/>
    </row>
    <row r="466" ht="14.25" customHeight="1" spans="2:2">
      <c r="B466" s="32"/>
    </row>
    <row r="467" ht="14.25" customHeight="1" spans="2:2">
      <c r="B467" s="32"/>
    </row>
    <row r="468" ht="14.25" customHeight="1" spans="2:2">
      <c r="B468" s="32"/>
    </row>
    <row r="469" ht="14.25" customHeight="1" spans="2:2">
      <c r="B469" s="32"/>
    </row>
    <row r="470" ht="14.25" customHeight="1" spans="2:2">
      <c r="B470" s="32"/>
    </row>
    <row r="471" ht="14.25" customHeight="1" spans="2:2">
      <c r="B471" s="32"/>
    </row>
    <row r="472" ht="14.25" customHeight="1" spans="2:2">
      <c r="B472" s="32"/>
    </row>
    <row r="473" ht="14.25" customHeight="1" spans="2:2">
      <c r="B473" s="32"/>
    </row>
    <row r="474" ht="14.25" customHeight="1" spans="2:2">
      <c r="B474" s="32"/>
    </row>
    <row r="475" ht="14.25" customHeight="1" spans="2:2">
      <c r="B475" s="32"/>
    </row>
    <row r="476" ht="14.25" customHeight="1" spans="2:2">
      <c r="B476" s="32"/>
    </row>
    <row r="477" ht="14.25" customHeight="1" spans="2:2">
      <c r="B477" s="32"/>
    </row>
    <row r="478" ht="14.25" customHeight="1" spans="2:2">
      <c r="B478" s="32"/>
    </row>
    <row r="479" ht="14.25" customHeight="1" spans="2:2">
      <c r="B479" s="32"/>
    </row>
    <row r="480" ht="14.25" customHeight="1" spans="2:2">
      <c r="B480" s="32"/>
    </row>
    <row r="481" ht="14.25" customHeight="1" spans="2:2">
      <c r="B481" s="32"/>
    </row>
    <row r="482" ht="14.25" customHeight="1" spans="2:2">
      <c r="B482" s="32"/>
    </row>
    <row r="483" ht="14.25" customHeight="1" spans="2:2">
      <c r="B483" s="32"/>
    </row>
    <row r="484" ht="14.25" customHeight="1" spans="2:2">
      <c r="B484" s="32"/>
    </row>
    <row r="485" ht="14.25" customHeight="1" spans="2:2">
      <c r="B485" s="32"/>
    </row>
    <row r="486" ht="14.25" customHeight="1" spans="2:2">
      <c r="B486" s="32"/>
    </row>
    <row r="487" ht="14.25" customHeight="1" spans="2:2">
      <c r="B487" s="32"/>
    </row>
    <row r="488" ht="14.25" customHeight="1" spans="2:2">
      <c r="B488" s="32"/>
    </row>
    <row r="489" ht="14.25" customHeight="1" spans="2:2">
      <c r="B489" s="32"/>
    </row>
    <row r="490" ht="14.25" customHeight="1" spans="2:2">
      <c r="B490" s="32"/>
    </row>
    <row r="491" ht="14.25" customHeight="1" spans="2:2">
      <c r="B491" s="32"/>
    </row>
    <row r="492" ht="14.25" customHeight="1" spans="2:2">
      <c r="B492" s="32"/>
    </row>
    <row r="493" ht="14.25" customHeight="1" spans="2:2">
      <c r="B493" s="32"/>
    </row>
    <row r="494" ht="14.25" customHeight="1" spans="2:2">
      <c r="B494" s="32"/>
    </row>
    <row r="495" ht="14.25" customHeight="1" spans="2:2">
      <c r="B495" s="32"/>
    </row>
    <row r="496" ht="14.25" customHeight="1" spans="2:2">
      <c r="B496" s="32"/>
    </row>
    <row r="497" ht="14.25" customHeight="1" spans="2:2">
      <c r="B497" s="32"/>
    </row>
    <row r="498" ht="14.25" customHeight="1" spans="2:2">
      <c r="B498" s="32"/>
    </row>
    <row r="499" ht="14.25" customHeight="1" spans="2:2">
      <c r="B499" s="32"/>
    </row>
    <row r="500" ht="14.25" customHeight="1" spans="2:2">
      <c r="B500" s="32"/>
    </row>
    <row r="501" ht="14.25" customHeight="1" spans="2:2">
      <c r="B501" s="32"/>
    </row>
    <row r="502" ht="14.25" customHeight="1" spans="2:2">
      <c r="B502" s="32"/>
    </row>
    <row r="503" ht="14.25" customHeight="1" spans="2:2">
      <c r="B503" s="32"/>
    </row>
    <row r="504" ht="14.25" customHeight="1" spans="2:2">
      <c r="B504" s="32"/>
    </row>
    <row r="505" ht="14.25" customHeight="1" spans="2:2">
      <c r="B505" s="32"/>
    </row>
    <row r="506" ht="14.25" customHeight="1" spans="2:2">
      <c r="B506" s="32"/>
    </row>
    <row r="507" ht="14.25" customHeight="1" spans="2:2">
      <c r="B507" s="32"/>
    </row>
    <row r="508" ht="14.25" customHeight="1" spans="2:2">
      <c r="B508" s="32"/>
    </row>
    <row r="509" ht="14.25" customHeight="1" spans="2:2">
      <c r="B509" s="32"/>
    </row>
    <row r="510" ht="14.25" customHeight="1" spans="2:2">
      <c r="B510" s="32"/>
    </row>
    <row r="511" ht="14.25" customHeight="1" spans="2:2">
      <c r="B511" s="32"/>
    </row>
    <row r="512" ht="14.25" customHeight="1" spans="2:2">
      <c r="B512" s="32"/>
    </row>
    <row r="513" ht="14.25" customHeight="1" spans="2:2">
      <c r="B513" s="32"/>
    </row>
    <row r="514" ht="14.25" customHeight="1" spans="2:2">
      <c r="B514" s="32"/>
    </row>
    <row r="515" ht="14.25" customHeight="1" spans="2:2">
      <c r="B515" s="32"/>
    </row>
    <row r="516" ht="14.25" customHeight="1" spans="2:2">
      <c r="B516" s="32"/>
    </row>
    <row r="517" ht="14.25" customHeight="1" spans="2:2">
      <c r="B517" s="32"/>
    </row>
    <row r="518" ht="14.25" customHeight="1" spans="2:2">
      <c r="B518" s="32"/>
    </row>
    <row r="519" ht="14.25" customHeight="1" spans="2:2">
      <c r="B519" s="32"/>
    </row>
    <row r="520" ht="14.25" customHeight="1" spans="2:2">
      <c r="B520" s="32"/>
    </row>
    <row r="521" ht="14.25" customHeight="1" spans="2:2">
      <c r="B521" s="32"/>
    </row>
    <row r="522" ht="14.25" customHeight="1" spans="2:2">
      <c r="B522" s="32"/>
    </row>
    <row r="523" ht="14.25" customHeight="1" spans="2:2">
      <c r="B523" s="32"/>
    </row>
    <row r="524" ht="14.25" customHeight="1" spans="2:2">
      <c r="B524" s="32"/>
    </row>
    <row r="525" ht="14.25" customHeight="1" spans="2:2">
      <c r="B525" s="32"/>
    </row>
    <row r="526" ht="14.25" customHeight="1" spans="2:2">
      <c r="B526" s="32"/>
    </row>
    <row r="527" ht="14.25" customHeight="1" spans="2:2">
      <c r="B527" s="32"/>
    </row>
    <row r="528" ht="14.25" customHeight="1" spans="2:2">
      <c r="B528" s="32"/>
    </row>
    <row r="529" ht="14.25" customHeight="1" spans="2:2">
      <c r="B529" s="32"/>
    </row>
    <row r="530" ht="14.25" customHeight="1" spans="2:2">
      <c r="B530" s="32"/>
    </row>
    <row r="531" ht="14.25" customHeight="1" spans="2:2">
      <c r="B531" s="32"/>
    </row>
    <row r="532" ht="14.25" customHeight="1" spans="2:2">
      <c r="B532" s="32"/>
    </row>
    <row r="533" ht="14.25" customHeight="1" spans="2:2">
      <c r="B533" s="32"/>
    </row>
    <row r="534" ht="14.25" customHeight="1" spans="2:2">
      <c r="B534" s="32"/>
    </row>
    <row r="535" ht="14.25" customHeight="1" spans="2:2">
      <c r="B535" s="32"/>
    </row>
    <row r="536" ht="14.25" customHeight="1" spans="2:2">
      <c r="B536" s="32"/>
    </row>
    <row r="537" ht="14.25" customHeight="1" spans="2:2">
      <c r="B537" s="32"/>
    </row>
    <row r="538" ht="14.25" customHeight="1" spans="2:2">
      <c r="B538" s="32"/>
    </row>
    <row r="539" ht="14.25" customHeight="1" spans="2:2">
      <c r="B539" s="32"/>
    </row>
    <row r="540" ht="14.25" customHeight="1" spans="2:2">
      <c r="B540" s="32"/>
    </row>
    <row r="541" ht="14.25" customHeight="1" spans="2:2">
      <c r="B541" s="32"/>
    </row>
    <row r="542" ht="14.25" customHeight="1" spans="2:2">
      <c r="B542" s="32"/>
    </row>
    <row r="543" ht="14.25" customHeight="1" spans="2:2">
      <c r="B543" s="32"/>
    </row>
    <row r="544" ht="14.25" customHeight="1" spans="2:2">
      <c r="B544" s="32"/>
    </row>
    <row r="545" ht="14.25" customHeight="1" spans="2:2">
      <c r="B545" s="32"/>
    </row>
    <row r="546" ht="14.25" customHeight="1" spans="2:2">
      <c r="B546" s="32"/>
    </row>
    <row r="547" ht="14.25" customHeight="1" spans="2:2">
      <c r="B547" s="32"/>
    </row>
    <row r="548" ht="14.25" customHeight="1" spans="2:2">
      <c r="B548" s="32"/>
    </row>
    <row r="549" ht="14.25" customHeight="1" spans="2:2">
      <c r="B549" s="32"/>
    </row>
    <row r="550" ht="14.25" customHeight="1" spans="2:2">
      <c r="B550" s="32"/>
    </row>
    <row r="551" ht="14.25" customHeight="1" spans="2:2">
      <c r="B551" s="32"/>
    </row>
    <row r="552" ht="14.25" customHeight="1" spans="2:2">
      <c r="B552" s="32"/>
    </row>
    <row r="553" ht="14.25" customHeight="1" spans="2:2">
      <c r="B553" s="32"/>
    </row>
    <row r="554" ht="14.25" customHeight="1" spans="2:2">
      <c r="B554" s="32"/>
    </row>
    <row r="555" ht="14.25" customHeight="1" spans="2:2">
      <c r="B555" s="32"/>
    </row>
    <row r="556" ht="14.25" customHeight="1" spans="2:2">
      <c r="B556" s="32"/>
    </row>
    <row r="557" ht="14.25" customHeight="1" spans="2:2">
      <c r="B557" s="32"/>
    </row>
    <row r="558" ht="14.25" customHeight="1" spans="2:2">
      <c r="B558" s="32"/>
    </row>
    <row r="559" ht="14.25" customHeight="1" spans="2:2">
      <c r="B559" s="32"/>
    </row>
    <row r="560" ht="14.25" customHeight="1" spans="2:2">
      <c r="B560" s="32"/>
    </row>
    <row r="561" ht="14.25" customHeight="1" spans="2:2">
      <c r="B561" s="32"/>
    </row>
    <row r="562" ht="14.25" customHeight="1" spans="2:2">
      <c r="B562" s="32"/>
    </row>
    <row r="563" ht="14.25" customHeight="1" spans="2:2">
      <c r="B563" s="32"/>
    </row>
    <row r="564" ht="14.25" customHeight="1" spans="2:2">
      <c r="B564" s="32"/>
    </row>
    <row r="565" ht="14.25" customHeight="1" spans="2:2">
      <c r="B565" s="32"/>
    </row>
    <row r="566" ht="14.25" customHeight="1" spans="2:2">
      <c r="B566" s="32"/>
    </row>
    <row r="567" ht="14.25" customHeight="1" spans="2:2">
      <c r="B567" s="32"/>
    </row>
    <row r="568" ht="14.25" customHeight="1" spans="2:2">
      <c r="B568" s="32"/>
    </row>
    <row r="569" ht="14.25" customHeight="1" spans="2:2">
      <c r="B569" s="32"/>
    </row>
    <row r="570" ht="14.25" customHeight="1" spans="2:2">
      <c r="B570" s="32"/>
    </row>
    <row r="571" ht="14.25" customHeight="1" spans="2:2">
      <c r="B571" s="32"/>
    </row>
    <row r="572" ht="14.25" customHeight="1" spans="2:2">
      <c r="B572" s="32"/>
    </row>
    <row r="573" ht="14.25" customHeight="1" spans="2:2">
      <c r="B573" s="32"/>
    </row>
    <row r="574" ht="14.25" customHeight="1" spans="2:2">
      <c r="B574" s="32"/>
    </row>
    <row r="575" ht="14.25" customHeight="1" spans="2:2">
      <c r="B575" s="32"/>
    </row>
    <row r="576" ht="14.25" customHeight="1" spans="2:2">
      <c r="B576" s="32"/>
    </row>
    <row r="577" ht="14.25" customHeight="1" spans="2:2">
      <c r="B577" s="32"/>
    </row>
    <row r="578" ht="14.25" customHeight="1" spans="2:2">
      <c r="B578" s="32"/>
    </row>
    <row r="579" ht="14.25" customHeight="1" spans="2:2">
      <c r="B579" s="32"/>
    </row>
    <row r="580" ht="14.25" customHeight="1" spans="2:2">
      <c r="B580" s="32"/>
    </row>
    <row r="581" ht="14.25" customHeight="1" spans="2:2">
      <c r="B581" s="32"/>
    </row>
    <row r="582" ht="14.25" customHeight="1" spans="2:2">
      <c r="B582" s="32"/>
    </row>
    <row r="583" ht="14.25" customHeight="1" spans="2:2">
      <c r="B583" s="32"/>
    </row>
    <row r="584" ht="14.25" customHeight="1" spans="2:2">
      <c r="B584" s="32"/>
    </row>
    <row r="585" ht="14.25" customHeight="1" spans="2:2">
      <c r="B585" s="32"/>
    </row>
    <row r="586" ht="14.25" customHeight="1" spans="2:2">
      <c r="B586" s="32"/>
    </row>
    <row r="587" ht="14.25" customHeight="1" spans="2:2">
      <c r="B587" s="32"/>
    </row>
    <row r="588" ht="14.25" customHeight="1" spans="2:2">
      <c r="B588" s="32"/>
    </row>
    <row r="589" ht="14.25" customHeight="1" spans="2:2">
      <c r="B589" s="32"/>
    </row>
    <row r="590" ht="14.25" customHeight="1" spans="2:2">
      <c r="B590" s="32"/>
    </row>
    <row r="591" ht="14.25" customHeight="1" spans="2:2">
      <c r="B591" s="32"/>
    </row>
    <row r="592" ht="14.25" customHeight="1" spans="2:2">
      <c r="B592" s="32"/>
    </row>
    <row r="593" ht="14.25" customHeight="1" spans="2:2">
      <c r="B593" s="32"/>
    </row>
    <row r="594" ht="14.25" customHeight="1" spans="2:2">
      <c r="B594" s="32"/>
    </row>
    <row r="595" ht="14.25" customHeight="1" spans="2:2">
      <c r="B595" s="32"/>
    </row>
    <row r="596" ht="14.25" customHeight="1" spans="2:2">
      <c r="B596" s="32"/>
    </row>
    <row r="597" ht="14.25" customHeight="1" spans="2:2">
      <c r="B597" s="32"/>
    </row>
    <row r="598" ht="14.25" customHeight="1" spans="2:2">
      <c r="B598" s="32"/>
    </row>
    <row r="599" ht="14.25" customHeight="1" spans="2:2">
      <c r="B599" s="32"/>
    </row>
    <row r="600" ht="14.25" customHeight="1" spans="2:2">
      <c r="B600" s="32"/>
    </row>
    <row r="601" ht="14.25" customHeight="1" spans="2:2">
      <c r="B601" s="32"/>
    </row>
    <row r="602" ht="14.25" customHeight="1" spans="2:2">
      <c r="B602" s="32"/>
    </row>
    <row r="603" ht="14.25" customHeight="1" spans="2:2">
      <c r="B603" s="32"/>
    </row>
    <row r="604" ht="14.25" customHeight="1" spans="2:2">
      <c r="B604" s="32"/>
    </row>
    <row r="605" ht="14.25" customHeight="1" spans="2:2">
      <c r="B605" s="32"/>
    </row>
    <row r="606" ht="14.25" customHeight="1" spans="2:2">
      <c r="B606" s="32"/>
    </row>
    <row r="607" ht="14.25" customHeight="1" spans="2:2">
      <c r="B607" s="32"/>
    </row>
    <row r="608" ht="14.25" customHeight="1" spans="2:2">
      <c r="B608" s="32"/>
    </row>
    <row r="609" ht="14.25" customHeight="1" spans="2:2">
      <c r="B609" s="32"/>
    </row>
    <row r="610" ht="14.25" customHeight="1" spans="2:2">
      <c r="B610" s="32"/>
    </row>
    <row r="611" ht="14.25" customHeight="1" spans="2:2">
      <c r="B611" s="32"/>
    </row>
    <row r="612" ht="14.25" customHeight="1" spans="2:2">
      <c r="B612" s="32"/>
    </row>
    <row r="613" ht="14.25" customHeight="1" spans="2:2">
      <c r="B613" s="32"/>
    </row>
    <row r="614" ht="14.25" customHeight="1" spans="2:2">
      <c r="B614" s="32"/>
    </row>
    <row r="615" ht="14.25" customHeight="1" spans="2:2">
      <c r="B615" s="32"/>
    </row>
    <row r="616" ht="14.25" customHeight="1" spans="2:2">
      <c r="B616" s="32"/>
    </row>
    <row r="617" ht="14.25" customHeight="1" spans="2:2">
      <c r="B617" s="32"/>
    </row>
    <row r="618" ht="14.25" customHeight="1" spans="2:2">
      <c r="B618" s="32"/>
    </row>
    <row r="619" ht="14.25" customHeight="1" spans="2:2">
      <c r="B619" s="32"/>
    </row>
    <row r="620" ht="14.25" customHeight="1" spans="2:2">
      <c r="B620" s="32"/>
    </row>
    <row r="621" ht="14.25" customHeight="1" spans="2:2">
      <c r="B621" s="32"/>
    </row>
    <row r="622" ht="14.25" customHeight="1" spans="2:2">
      <c r="B622" s="32"/>
    </row>
    <row r="623" ht="14.25" customHeight="1" spans="2:2">
      <c r="B623" s="32"/>
    </row>
    <row r="624" ht="14.25" customHeight="1" spans="2:2">
      <c r="B624" s="32"/>
    </row>
    <row r="625" ht="14.25" customHeight="1" spans="2:2">
      <c r="B625" s="32"/>
    </row>
    <row r="626" ht="14.25" customHeight="1" spans="2:2">
      <c r="B626" s="32"/>
    </row>
    <row r="627" ht="14.25" customHeight="1" spans="2:2">
      <c r="B627" s="32"/>
    </row>
    <row r="628" ht="14.25" customHeight="1" spans="2:2">
      <c r="B628" s="32"/>
    </row>
    <row r="629" ht="14.25" customHeight="1" spans="2:2">
      <c r="B629" s="32"/>
    </row>
    <row r="630" ht="14.25" customHeight="1" spans="2:2">
      <c r="B630" s="32"/>
    </row>
    <row r="631" ht="14.25" customHeight="1" spans="2:2">
      <c r="B631" s="32"/>
    </row>
    <row r="632" ht="14.25" customHeight="1" spans="2:2">
      <c r="B632" s="32"/>
    </row>
    <row r="633" ht="14.25" customHeight="1" spans="2:2">
      <c r="B633" s="32"/>
    </row>
    <row r="634" ht="14.25" customHeight="1" spans="2:2">
      <c r="B634" s="32"/>
    </row>
    <row r="635" ht="14.25" customHeight="1" spans="2:2">
      <c r="B635" s="32"/>
    </row>
    <row r="636" ht="14.25" customHeight="1" spans="2:2">
      <c r="B636" s="32"/>
    </row>
    <row r="637" ht="14.25" customHeight="1" spans="2:2">
      <c r="B637" s="32"/>
    </row>
    <row r="638" ht="14.25" customHeight="1" spans="2:2">
      <c r="B638" s="32"/>
    </row>
    <row r="639" ht="14.25" customHeight="1" spans="2:2">
      <c r="B639" s="32"/>
    </row>
    <row r="640" ht="14.25" customHeight="1" spans="2:2">
      <c r="B640" s="32"/>
    </row>
    <row r="641" ht="14.25" customHeight="1" spans="2:2">
      <c r="B641" s="32"/>
    </row>
    <row r="642" ht="14.25" customHeight="1" spans="2:2">
      <c r="B642" s="32"/>
    </row>
    <row r="643" ht="14.25" customHeight="1" spans="2:2">
      <c r="B643" s="32"/>
    </row>
    <row r="644" ht="14.25" customHeight="1" spans="2:2">
      <c r="B644" s="32"/>
    </row>
    <row r="645" ht="14.25" customHeight="1" spans="2:2">
      <c r="B645" s="32"/>
    </row>
    <row r="646" ht="14.25" customHeight="1" spans="2:2">
      <c r="B646" s="32"/>
    </row>
    <row r="647" ht="14.25" customHeight="1" spans="2:2">
      <c r="B647" s="32"/>
    </row>
    <row r="648" ht="14.25" customHeight="1" spans="2:2">
      <c r="B648" s="32"/>
    </row>
    <row r="649" ht="14.25" customHeight="1" spans="2:2">
      <c r="B649" s="32"/>
    </row>
    <row r="650" ht="14.25" customHeight="1" spans="2:2">
      <c r="B650" s="32"/>
    </row>
    <row r="651" ht="14.25" customHeight="1" spans="2:2">
      <c r="B651" s="32"/>
    </row>
    <row r="652" ht="14.25" customHeight="1" spans="2:2">
      <c r="B652" s="32"/>
    </row>
    <row r="653" ht="14.25" customHeight="1" spans="2:2">
      <c r="B653" s="32"/>
    </row>
    <row r="654" ht="14.25" customHeight="1" spans="2:2">
      <c r="B654" s="32"/>
    </row>
    <row r="655" ht="14.25" customHeight="1" spans="2:2">
      <c r="B655" s="32"/>
    </row>
    <row r="656" ht="14.25" customHeight="1" spans="2:2">
      <c r="B656" s="32"/>
    </row>
    <row r="657" ht="14.25" customHeight="1" spans="2:2">
      <c r="B657" s="32"/>
    </row>
    <row r="658" ht="14.25" customHeight="1" spans="2:2">
      <c r="B658" s="32"/>
    </row>
    <row r="659" ht="14.25" customHeight="1" spans="2:2">
      <c r="B659" s="32"/>
    </row>
    <row r="660" ht="14.25" customHeight="1" spans="2:2">
      <c r="B660" s="32"/>
    </row>
    <row r="661" ht="14.25" customHeight="1" spans="2:2">
      <c r="B661" s="32"/>
    </row>
    <row r="662" ht="14.25" customHeight="1" spans="2:2">
      <c r="B662" s="32"/>
    </row>
    <row r="663" ht="14.25" customHeight="1" spans="2:2">
      <c r="B663" s="32"/>
    </row>
    <row r="664" ht="14.25" customHeight="1" spans="2:2">
      <c r="B664" s="32"/>
    </row>
    <row r="665" ht="14.25" customHeight="1" spans="2:2">
      <c r="B665" s="32"/>
    </row>
    <row r="666" ht="14.25" customHeight="1" spans="2:2">
      <c r="B666" s="32"/>
    </row>
    <row r="667" ht="14.25" customHeight="1" spans="2:2">
      <c r="B667" s="32"/>
    </row>
    <row r="668" ht="14.25" customHeight="1" spans="2:2">
      <c r="B668" s="32"/>
    </row>
    <row r="669" ht="14.25" customHeight="1" spans="2:2">
      <c r="B669" s="32"/>
    </row>
    <row r="670" ht="14.25" customHeight="1" spans="2:2">
      <c r="B670" s="32"/>
    </row>
    <row r="671" ht="14.25" customHeight="1" spans="2:2">
      <c r="B671" s="32"/>
    </row>
    <row r="672" ht="14.25" customHeight="1" spans="2:2">
      <c r="B672" s="32"/>
    </row>
    <row r="673" ht="14.25" customHeight="1" spans="2:2">
      <c r="B673" s="32"/>
    </row>
    <row r="674" ht="14.25" customHeight="1" spans="2:2">
      <c r="B674" s="32"/>
    </row>
    <row r="675" ht="14.25" customHeight="1" spans="2:2">
      <c r="B675" s="32"/>
    </row>
    <row r="676" ht="14.25" customHeight="1" spans="2:2">
      <c r="B676" s="32"/>
    </row>
    <row r="677" ht="14.25" customHeight="1" spans="2:2">
      <c r="B677" s="32"/>
    </row>
    <row r="678" ht="14.25" customHeight="1" spans="2:2">
      <c r="B678" s="32"/>
    </row>
    <row r="679" ht="14.25" customHeight="1" spans="2:2">
      <c r="B679" s="32"/>
    </row>
    <row r="680" ht="14.25" customHeight="1" spans="2:2">
      <c r="B680" s="32"/>
    </row>
    <row r="681" ht="14.25" customHeight="1" spans="2:2">
      <c r="B681" s="32"/>
    </row>
    <row r="682" ht="14.25" customHeight="1" spans="2:2">
      <c r="B682" s="32"/>
    </row>
    <row r="683" ht="14.25" customHeight="1" spans="2:2">
      <c r="B683" s="32"/>
    </row>
    <row r="684" ht="14.25" customHeight="1" spans="2:2">
      <c r="B684" s="32"/>
    </row>
    <row r="685" ht="14.25" customHeight="1" spans="2:2">
      <c r="B685" s="32"/>
    </row>
    <row r="686" ht="14.25" customHeight="1" spans="2:2">
      <c r="B686" s="32"/>
    </row>
    <row r="687" ht="14.25" customHeight="1" spans="2:2">
      <c r="B687" s="32"/>
    </row>
    <row r="688" ht="14.25" customHeight="1" spans="2:2">
      <c r="B688" s="32"/>
    </row>
    <row r="689" ht="14.25" customHeight="1" spans="2:2">
      <c r="B689" s="32"/>
    </row>
    <row r="690" ht="14.25" customHeight="1" spans="2:2">
      <c r="B690" s="32"/>
    </row>
    <row r="691" ht="14.25" customHeight="1" spans="2:2">
      <c r="B691" s="32"/>
    </row>
    <row r="692" ht="14.25" customHeight="1" spans="2:2">
      <c r="B692" s="32"/>
    </row>
    <row r="693" ht="14.25" customHeight="1" spans="2:2">
      <c r="B693" s="32"/>
    </row>
    <row r="694" ht="14.25" customHeight="1" spans="2:2">
      <c r="B694" s="32"/>
    </row>
    <row r="695" ht="14.25" customHeight="1" spans="2:2">
      <c r="B695" s="32"/>
    </row>
    <row r="696" ht="14.25" customHeight="1" spans="2:2">
      <c r="B696" s="32"/>
    </row>
    <row r="697" ht="14.25" customHeight="1" spans="2:2">
      <c r="B697" s="32"/>
    </row>
    <row r="698" ht="14.25" customHeight="1" spans="2:2">
      <c r="B698" s="32"/>
    </row>
    <row r="699" ht="14.25" customHeight="1" spans="2:2">
      <c r="B699" s="32"/>
    </row>
    <row r="700" ht="14.25" customHeight="1" spans="2:2">
      <c r="B700" s="32"/>
    </row>
    <row r="701" ht="14.25" customHeight="1" spans="2:2">
      <c r="B701" s="32"/>
    </row>
    <row r="702" ht="14.25" customHeight="1" spans="2:2">
      <c r="B702" s="32"/>
    </row>
    <row r="703" ht="14.25" customHeight="1" spans="2:2">
      <c r="B703" s="32"/>
    </row>
    <row r="704" ht="14.25" customHeight="1" spans="2:2">
      <c r="B704" s="32"/>
    </row>
    <row r="705" ht="14.25" customHeight="1" spans="2:2">
      <c r="B705" s="32"/>
    </row>
    <row r="706" ht="14.25" customHeight="1" spans="2:2">
      <c r="B706" s="32"/>
    </row>
    <row r="707" ht="14.25" customHeight="1" spans="2:2">
      <c r="B707" s="32"/>
    </row>
    <row r="708" ht="14.25" customHeight="1" spans="2:2">
      <c r="B708" s="32"/>
    </row>
    <row r="709" ht="14.25" customHeight="1" spans="2:2">
      <c r="B709" s="32"/>
    </row>
    <row r="710" ht="14.25" customHeight="1" spans="2:2">
      <c r="B710" s="32"/>
    </row>
    <row r="711" ht="14.25" customHeight="1" spans="2:2">
      <c r="B711" s="32"/>
    </row>
    <row r="712" ht="14.25" customHeight="1" spans="2:2">
      <c r="B712" s="32"/>
    </row>
    <row r="713" ht="14.25" customHeight="1" spans="2:2">
      <c r="B713" s="32"/>
    </row>
    <row r="714" ht="14.25" customHeight="1" spans="2:2">
      <c r="B714" s="32"/>
    </row>
    <row r="715" ht="14.25" customHeight="1" spans="2:2">
      <c r="B715" s="32"/>
    </row>
    <row r="716" ht="14.25" customHeight="1" spans="2:2">
      <c r="B716" s="32"/>
    </row>
    <row r="717" ht="14.25" customHeight="1" spans="2:2">
      <c r="B717" s="32"/>
    </row>
    <row r="718" ht="14.25" customHeight="1" spans="2:2">
      <c r="B718" s="32"/>
    </row>
    <row r="719" ht="14.25" customHeight="1" spans="2:2">
      <c r="B719" s="32"/>
    </row>
    <row r="720" ht="14.25" customHeight="1" spans="2:2">
      <c r="B720" s="32"/>
    </row>
    <row r="721" ht="14.25" customHeight="1" spans="2:2">
      <c r="B721" s="32"/>
    </row>
    <row r="722" ht="14.25" customHeight="1" spans="2:2">
      <c r="B722" s="32"/>
    </row>
    <row r="723" ht="14.25" customHeight="1" spans="2:2">
      <c r="B723" s="32"/>
    </row>
    <row r="724" ht="14.25" customHeight="1" spans="2:2">
      <c r="B724" s="32"/>
    </row>
    <row r="725" ht="14.25" customHeight="1" spans="2:2">
      <c r="B725" s="32"/>
    </row>
    <row r="726" ht="14.25" customHeight="1" spans="2:2">
      <c r="B726" s="32"/>
    </row>
    <row r="727" ht="14.25" customHeight="1" spans="2:2">
      <c r="B727" s="32"/>
    </row>
    <row r="728" ht="14.25" customHeight="1" spans="2:2">
      <c r="B728" s="32"/>
    </row>
    <row r="729" ht="14.25" customHeight="1" spans="2:2">
      <c r="B729" s="32"/>
    </row>
    <row r="730" ht="14.25" customHeight="1" spans="2:2">
      <c r="B730" s="32"/>
    </row>
    <row r="731" ht="14.25" customHeight="1" spans="2:2">
      <c r="B731" s="32"/>
    </row>
    <row r="732" ht="14.25" customHeight="1" spans="2:2">
      <c r="B732" s="32"/>
    </row>
    <row r="733" ht="14.25" customHeight="1" spans="2:2">
      <c r="B733" s="32"/>
    </row>
    <row r="734" ht="14.25" customHeight="1" spans="2:2">
      <c r="B734" s="32"/>
    </row>
    <row r="735" ht="14.25" customHeight="1" spans="2:2">
      <c r="B735" s="32"/>
    </row>
    <row r="736" ht="14.25" customHeight="1" spans="2:2">
      <c r="B736" s="32"/>
    </row>
    <row r="737" ht="14.25" customHeight="1" spans="2:2">
      <c r="B737" s="32"/>
    </row>
    <row r="738" ht="14.25" customHeight="1" spans="2:2">
      <c r="B738" s="32"/>
    </row>
    <row r="739" ht="14.25" customHeight="1" spans="2:2">
      <c r="B739" s="32"/>
    </row>
    <row r="740" ht="14.25" customHeight="1" spans="2:2">
      <c r="B740" s="32"/>
    </row>
    <row r="741" ht="14.25" customHeight="1" spans="2:2">
      <c r="B741" s="32"/>
    </row>
    <row r="742" ht="14.25" customHeight="1" spans="2:2">
      <c r="B742" s="32"/>
    </row>
    <row r="743" ht="14.25" customHeight="1" spans="2:2">
      <c r="B743" s="32"/>
    </row>
    <row r="744" ht="14.25" customHeight="1" spans="2:2">
      <c r="B744" s="32"/>
    </row>
    <row r="745" ht="14.25" customHeight="1" spans="2:2">
      <c r="B745" s="32"/>
    </row>
    <row r="746" ht="14.25" customHeight="1" spans="2:2">
      <c r="B746" s="32"/>
    </row>
    <row r="747" ht="14.25" customHeight="1" spans="2:2">
      <c r="B747" s="32"/>
    </row>
    <row r="748" ht="14.25" customHeight="1" spans="2:2">
      <c r="B748" s="32"/>
    </row>
    <row r="749" ht="14.25" customHeight="1" spans="2:2">
      <c r="B749" s="32"/>
    </row>
    <row r="750" ht="14.25" customHeight="1" spans="2:2">
      <c r="B750" s="32"/>
    </row>
    <row r="751" ht="14.25" customHeight="1" spans="2:2">
      <c r="B751" s="32"/>
    </row>
    <row r="752" ht="14.25" customHeight="1" spans="2:2">
      <c r="B752" s="32"/>
    </row>
    <row r="753" ht="14.25" customHeight="1" spans="2:2">
      <c r="B753" s="32"/>
    </row>
    <row r="754" ht="14.25" customHeight="1" spans="2:2">
      <c r="B754" s="32"/>
    </row>
    <row r="755" ht="14.25" customHeight="1" spans="2:2">
      <c r="B755" s="32"/>
    </row>
    <row r="756" ht="14.25" customHeight="1" spans="2:2">
      <c r="B756" s="32"/>
    </row>
    <row r="757" ht="14.25" customHeight="1" spans="2:2">
      <c r="B757" s="32"/>
    </row>
    <row r="758" ht="14.25" customHeight="1" spans="2:2">
      <c r="B758" s="32"/>
    </row>
    <row r="759" ht="14.25" customHeight="1" spans="2:2">
      <c r="B759" s="32"/>
    </row>
    <row r="760" ht="14.25" customHeight="1" spans="2:2">
      <c r="B760" s="32"/>
    </row>
    <row r="761" ht="14.25" customHeight="1" spans="2:2">
      <c r="B761" s="32"/>
    </row>
    <row r="762" ht="14.25" customHeight="1" spans="2:2">
      <c r="B762" s="32"/>
    </row>
    <row r="763" ht="14.25" customHeight="1" spans="2:2">
      <c r="B763" s="32"/>
    </row>
    <row r="764" ht="14.25" customHeight="1" spans="2:2">
      <c r="B764" s="32"/>
    </row>
    <row r="765" ht="14.25" customHeight="1" spans="2:2">
      <c r="B765" s="32"/>
    </row>
    <row r="766" ht="14.25" customHeight="1" spans="2:2">
      <c r="B766" s="32"/>
    </row>
    <row r="767" ht="14.25" customHeight="1" spans="2:2">
      <c r="B767" s="32"/>
    </row>
    <row r="768" ht="14.25" customHeight="1" spans="2:2">
      <c r="B768" s="32"/>
    </row>
    <row r="769" ht="14.25" customHeight="1" spans="2:2">
      <c r="B769" s="32"/>
    </row>
    <row r="770" ht="14.25" customHeight="1" spans="2:2">
      <c r="B770" s="32"/>
    </row>
    <row r="771" ht="14.25" customHeight="1" spans="2:2">
      <c r="B771" s="32"/>
    </row>
    <row r="772" ht="14.25" customHeight="1" spans="2:2">
      <c r="B772" s="32"/>
    </row>
    <row r="773" ht="14.25" customHeight="1" spans="2:2">
      <c r="B773" s="32"/>
    </row>
    <row r="774" ht="14.25" customHeight="1" spans="2:2">
      <c r="B774" s="32"/>
    </row>
    <row r="775" ht="14.25" customHeight="1" spans="2:2">
      <c r="B775" s="32"/>
    </row>
    <row r="776" ht="14.25" customHeight="1" spans="2:2">
      <c r="B776" s="32"/>
    </row>
    <row r="777" ht="14.25" customHeight="1" spans="2:2">
      <c r="B777" s="32"/>
    </row>
    <row r="778" ht="14.25" customHeight="1" spans="2:2">
      <c r="B778" s="32"/>
    </row>
    <row r="779" ht="14.25" customHeight="1" spans="2:2">
      <c r="B779" s="32"/>
    </row>
    <row r="780" ht="14.25" customHeight="1" spans="2:2">
      <c r="B780" s="32"/>
    </row>
    <row r="781" ht="14.25" customHeight="1" spans="2:2">
      <c r="B781" s="32"/>
    </row>
    <row r="782" ht="14.25" customHeight="1" spans="2:2">
      <c r="B782" s="32"/>
    </row>
    <row r="783" ht="14.25" customHeight="1" spans="2:2">
      <c r="B783" s="32"/>
    </row>
    <row r="784" ht="14.25" customHeight="1" spans="2:2">
      <c r="B784" s="32"/>
    </row>
    <row r="785" ht="14.25" customHeight="1" spans="2:2">
      <c r="B785" s="32"/>
    </row>
    <row r="786" ht="14.25" customHeight="1" spans="2:2">
      <c r="B786" s="32"/>
    </row>
    <row r="787" ht="14.25" customHeight="1" spans="2:2">
      <c r="B787" s="32"/>
    </row>
    <row r="788" ht="14.25" customHeight="1" spans="2:2">
      <c r="B788" s="32"/>
    </row>
    <row r="789" ht="14.25" customHeight="1" spans="2:2">
      <c r="B789" s="32"/>
    </row>
    <row r="790" ht="14.25" customHeight="1" spans="2:2">
      <c r="B790" s="32"/>
    </row>
    <row r="791" ht="14.25" customHeight="1" spans="2:2">
      <c r="B791" s="32"/>
    </row>
    <row r="792" ht="14.25" customHeight="1" spans="2:2">
      <c r="B792" s="32"/>
    </row>
    <row r="793" ht="14.25" customHeight="1" spans="2:2">
      <c r="B793" s="32"/>
    </row>
    <row r="794" ht="14.25" customHeight="1" spans="2:2">
      <c r="B794" s="32"/>
    </row>
    <row r="795" ht="14.25" customHeight="1" spans="2:2">
      <c r="B795" s="32"/>
    </row>
    <row r="796" ht="14.25" customHeight="1" spans="2:2">
      <c r="B796" s="32"/>
    </row>
    <row r="797" ht="14.25" customHeight="1" spans="2:2">
      <c r="B797" s="32"/>
    </row>
    <row r="798" ht="14.25" customHeight="1" spans="2:2">
      <c r="B798" s="32"/>
    </row>
    <row r="799" ht="14.25" customHeight="1" spans="2:2">
      <c r="B799" s="32"/>
    </row>
    <row r="800" ht="14.25" customHeight="1" spans="2:2">
      <c r="B800" s="32"/>
    </row>
    <row r="801" ht="14.25" customHeight="1" spans="2:2">
      <c r="B801" s="32"/>
    </row>
    <row r="802" ht="14.25" customHeight="1" spans="2:2">
      <c r="B802" s="32"/>
    </row>
    <row r="803" ht="14.25" customHeight="1" spans="2:2">
      <c r="B803" s="32"/>
    </row>
    <row r="804" ht="14.25" customHeight="1" spans="2:2">
      <c r="B804" s="32"/>
    </row>
    <row r="805" ht="14.25" customHeight="1" spans="2:2">
      <c r="B805" s="32"/>
    </row>
    <row r="806" ht="14.25" customHeight="1" spans="2:2">
      <c r="B806" s="32"/>
    </row>
    <row r="807" ht="14.25" customHeight="1" spans="2:2">
      <c r="B807" s="32"/>
    </row>
    <row r="808" ht="14.25" customHeight="1" spans="2:2">
      <c r="B808" s="32"/>
    </row>
    <row r="809" ht="14.25" customHeight="1" spans="2:2">
      <c r="B809" s="32"/>
    </row>
    <row r="810" ht="14.25" customHeight="1" spans="2:2">
      <c r="B810" s="32"/>
    </row>
    <row r="811" ht="14.25" customHeight="1" spans="2:2">
      <c r="B811" s="32"/>
    </row>
    <row r="812" ht="14.25" customHeight="1" spans="2:2">
      <c r="B812" s="32"/>
    </row>
    <row r="813" ht="14.25" customHeight="1" spans="2:2">
      <c r="B813" s="32"/>
    </row>
    <row r="814" ht="14.25" customHeight="1" spans="2:2">
      <c r="B814" s="32"/>
    </row>
    <row r="815" ht="14.25" customHeight="1" spans="2:2">
      <c r="B815" s="32"/>
    </row>
    <row r="816" ht="14.25" customHeight="1" spans="2:2">
      <c r="B816" s="32"/>
    </row>
    <row r="817" ht="14.25" customHeight="1" spans="2:2">
      <c r="B817" s="32"/>
    </row>
    <row r="818" ht="14.25" customHeight="1" spans="2:2">
      <c r="B818" s="32"/>
    </row>
    <row r="819" ht="14.25" customHeight="1" spans="2:2">
      <c r="B819" s="32"/>
    </row>
    <row r="820" ht="14.25" customHeight="1" spans="2:2">
      <c r="B820" s="32"/>
    </row>
    <row r="821" ht="14.25" customHeight="1" spans="2:2">
      <c r="B821" s="32"/>
    </row>
    <row r="822" ht="14.25" customHeight="1" spans="2:2">
      <c r="B822" s="32"/>
    </row>
    <row r="823" ht="14.25" customHeight="1" spans="2:2">
      <c r="B823" s="32"/>
    </row>
    <row r="824" ht="14.25" customHeight="1" spans="2:2">
      <c r="B824" s="32"/>
    </row>
    <row r="825" ht="14.25" customHeight="1" spans="2:2">
      <c r="B825" s="32"/>
    </row>
    <row r="826" ht="14.25" customHeight="1" spans="2:2">
      <c r="B826" s="32"/>
    </row>
    <row r="827" ht="14.25" customHeight="1" spans="2:2">
      <c r="B827" s="32"/>
    </row>
    <row r="828" ht="14.25" customHeight="1" spans="2:2">
      <c r="B828" s="32"/>
    </row>
    <row r="829" ht="14.25" customHeight="1" spans="2:2">
      <c r="B829" s="32"/>
    </row>
    <row r="830" ht="14.25" customHeight="1" spans="2:2">
      <c r="B830" s="32"/>
    </row>
    <row r="831" ht="14.25" customHeight="1" spans="2:2">
      <c r="B831" s="32"/>
    </row>
    <row r="832" ht="14.25" customHeight="1" spans="2:2">
      <c r="B832" s="32"/>
    </row>
    <row r="833" ht="14.25" customHeight="1" spans="2:2">
      <c r="B833" s="32"/>
    </row>
    <row r="834" ht="14.25" customHeight="1" spans="2:2">
      <c r="B834" s="32"/>
    </row>
    <row r="835" ht="14.25" customHeight="1" spans="2:2">
      <c r="B835" s="32"/>
    </row>
    <row r="836" ht="14.25" customHeight="1" spans="2:2">
      <c r="B836" s="32"/>
    </row>
    <row r="837" ht="14.25" customHeight="1" spans="2:2">
      <c r="B837" s="32"/>
    </row>
    <row r="838" ht="14.25" customHeight="1" spans="2:2">
      <c r="B838" s="32"/>
    </row>
    <row r="839" ht="14.25" customHeight="1" spans="2:2">
      <c r="B839" s="32"/>
    </row>
    <row r="840" ht="14.25" customHeight="1" spans="2:2">
      <c r="B840" s="32"/>
    </row>
    <row r="841" ht="14.25" customHeight="1" spans="2:2">
      <c r="B841" s="32"/>
    </row>
    <row r="842" ht="14.25" customHeight="1" spans="2:2">
      <c r="B842" s="32"/>
    </row>
    <row r="843" ht="14.25" customHeight="1" spans="2:2">
      <c r="B843" s="32"/>
    </row>
    <row r="844" ht="14.25" customHeight="1" spans="2:2">
      <c r="B844" s="32"/>
    </row>
    <row r="845" ht="14.25" customHeight="1" spans="2:2">
      <c r="B845" s="32"/>
    </row>
    <row r="846" ht="14.25" customHeight="1" spans="2:2">
      <c r="B846" s="32"/>
    </row>
    <row r="847" ht="14.25" customHeight="1" spans="2:2">
      <c r="B847" s="32"/>
    </row>
    <row r="848" ht="14.25" customHeight="1" spans="2:2">
      <c r="B848" s="32"/>
    </row>
    <row r="849" ht="14.25" customHeight="1" spans="2:2">
      <c r="B849" s="32"/>
    </row>
    <row r="850" ht="14.25" customHeight="1" spans="2:2">
      <c r="B850" s="32"/>
    </row>
    <row r="851" ht="14.25" customHeight="1" spans="2:2">
      <c r="B851" s="32"/>
    </row>
    <row r="852" ht="14.25" customHeight="1" spans="2:2">
      <c r="B852" s="32"/>
    </row>
    <row r="853" ht="14.25" customHeight="1" spans="2:2">
      <c r="B853" s="32"/>
    </row>
    <row r="854" ht="14.25" customHeight="1" spans="2:2">
      <c r="B854" s="32"/>
    </row>
    <row r="855" ht="14.25" customHeight="1" spans="2:2">
      <c r="B855" s="32"/>
    </row>
    <row r="856" ht="14.25" customHeight="1" spans="2:2">
      <c r="B856" s="32"/>
    </row>
    <row r="857" ht="14.25" customHeight="1" spans="2:2">
      <c r="B857" s="32"/>
    </row>
    <row r="858" ht="14.25" customHeight="1" spans="2:2">
      <c r="B858" s="32"/>
    </row>
    <row r="859" ht="14.25" customHeight="1" spans="2:2">
      <c r="B859" s="32"/>
    </row>
    <row r="860" ht="14.25" customHeight="1" spans="2:2">
      <c r="B860" s="32"/>
    </row>
    <row r="861" ht="14.25" customHeight="1" spans="2:2">
      <c r="B861" s="32"/>
    </row>
    <row r="862" ht="14.25" customHeight="1" spans="2:2">
      <c r="B862" s="32"/>
    </row>
    <row r="863" ht="14.25" customHeight="1" spans="2:2">
      <c r="B863" s="32"/>
    </row>
    <row r="864" ht="14.25" customHeight="1" spans="2:2">
      <c r="B864" s="32"/>
    </row>
    <row r="865" ht="14.25" customHeight="1" spans="2:2">
      <c r="B865" s="32"/>
    </row>
    <row r="866" ht="14.25" customHeight="1" spans="2:2">
      <c r="B866" s="32"/>
    </row>
    <row r="867" ht="14.25" customHeight="1" spans="2:2">
      <c r="B867" s="32"/>
    </row>
    <row r="868" ht="14.25" customHeight="1" spans="2:2">
      <c r="B868" s="32"/>
    </row>
    <row r="869" ht="14.25" customHeight="1" spans="2:2">
      <c r="B869" s="32"/>
    </row>
    <row r="870" ht="14.25" customHeight="1" spans="2:2">
      <c r="B870" s="32"/>
    </row>
    <row r="871" ht="14.25" customHeight="1" spans="2:2">
      <c r="B871" s="32"/>
    </row>
    <row r="872" ht="14.25" customHeight="1" spans="2:2">
      <c r="B872" s="32"/>
    </row>
    <row r="873" ht="14.25" customHeight="1" spans="2:2">
      <c r="B873" s="32"/>
    </row>
    <row r="874" ht="14.25" customHeight="1" spans="2:2">
      <c r="B874" s="32"/>
    </row>
    <row r="875" ht="14.25" customHeight="1" spans="2:2">
      <c r="B875" s="32"/>
    </row>
    <row r="876" ht="14.25" customHeight="1" spans="2:2">
      <c r="B876" s="32"/>
    </row>
    <row r="877" ht="14.25" customHeight="1" spans="2:2">
      <c r="B877" s="32"/>
    </row>
    <row r="878" ht="14.25" customHeight="1" spans="2:2">
      <c r="B878" s="32"/>
    </row>
    <row r="879" ht="14.25" customHeight="1" spans="2:2">
      <c r="B879" s="32"/>
    </row>
    <row r="880" ht="14.25" customHeight="1" spans="2:2">
      <c r="B880" s="32"/>
    </row>
    <row r="881" ht="14.25" customHeight="1" spans="2:2">
      <c r="B881" s="32"/>
    </row>
    <row r="882" ht="14.25" customHeight="1" spans="2:2">
      <c r="B882" s="32"/>
    </row>
    <row r="883" ht="14.25" customHeight="1" spans="2:2">
      <c r="B883" s="32"/>
    </row>
    <row r="884" ht="14.25" customHeight="1" spans="2:2">
      <c r="B884" s="32"/>
    </row>
    <row r="885" ht="14.25" customHeight="1" spans="2:2">
      <c r="B885" s="32"/>
    </row>
    <row r="886" ht="14.25" customHeight="1" spans="2:2">
      <c r="B886" s="32"/>
    </row>
    <row r="887" ht="14.25" customHeight="1" spans="2:2">
      <c r="B887" s="32"/>
    </row>
    <row r="888" ht="14.25" customHeight="1" spans="2:2">
      <c r="B888" s="32"/>
    </row>
    <row r="889" ht="14.25" customHeight="1" spans="2:2">
      <c r="B889" s="32"/>
    </row>
    <row r="890" ht="14.25" customHeight="1" spans="2:2">
      <c r="B890" s="32"/>
    </row>
    <row r="891" ht="14.25" customHeight="1" spans="2:2">
      <c r="B891" s="32"/>
    </row>
    <row r="892" ht="14.25" customHeight="1" spans="2:2">
      <c r="B892" s="32"/>
    </row>
    <row r="893" ht="14.25" customHeight="1" spans="2:2">
      <c r="B893" s="32"/>
    </row>
    <row r="894" ht="14.25" customHeight="1" spans="2:2">
      <c r="B894" s="32"/>
    </row>
    <row r="895" ht="14.25" customHeight="1" spans="2:2">
      <c r="B895" s="32"/>
    </row>
    <row r="896" ht="14.25" customHeight="1" spans="2:2">
      <c r="B896" s="32"/>
    </row>
    <row r="897" ht="14.25" customHeight="1" spans="2:2">
      <c r="B897" s="32"/>
    </row>
    <row r="898" ht="14.25" customHeight="1" spans="2:2">
      <c r="B898" s="32"/>
    </row>
    <row r="899" ht="14.25" customHeight="1" spans="2:2">
      <c r="B899" s="32"/>
    </row>
    <row r="900" ht="14.25" customHeight="1" spans="2:2">
      <c r="B900" s="32"/>
    </row>
    <row r="901" ht="14.25" customHeight="1" spans="2:2">
      <c r="B901" s="32"/>
    </row>
    <row r="902" ht="14.25" customHeight="1" spans="2:2">
      <c r="B902" s="32"/>
    </row>
    <row r="903" ht="14.25" customHeight="1" spans="2:2">
      <c r="B903" s="32"/>
    </row>
    <row r="904" ht="14.25" customHeight="1" spans="2:2">
      <c r="B904" s="32"/>
    </row>
    <row r="905" ht="14.25" customHeight="1" spans="2:2">
      <c r="B905" s="32"/>
    </row>
    <row r="906" ht="14.25" customHeight="1" spans="2:2">
      <c r="B906" s="32"/>
    </row>
    <row r="907" ht="14.25" customHeight="1" spans="2:2">
      <c r="B907" s="32"/>
    </row>
    <row r="908" ht="14.25" customHeight="1" spans="2:2">
      <c r="B908" s="32"/>
    </row>
    <row r="909" ht="14.25" customHeight="1" spans="2:2">
      <c r="B909" s="32"/>
    </row>
    <row r="910" ht="14.25" customHeight="1" spans="2:2">
      <c r="B910" s="32"/>
    </row>
    <row r="911" ht="14.25" customHeight="1" spans="2:2">
      <c r="B911" s="32"/>
    </row>
    <row r="912" ht="14.25" customHeight="1" spans="2:2">
      <c r="B912" s="32"/>
    </row>
    <row r="913" ht="14.25" customHeight="1" spans="2:2">
      <c r="B913" s="32"/>
    </row>
    <row r="914" ht="14.25" customHeight="1" spans="2:2">
      <c r="B914" s="32"/>
    </row>
    <row r="915" ht="14.25" customHeight="1" spans="2:2">
      <c r="B915" s="32"/>
    </row>
    <row r="916" ht="14.25" customHeight="1" spans="2:2">
      <c r="B916" s="32"/>
    </row>
    <row r="917" ht="14.25" customHeight="1" spans="2:2">
      <c r="B917" s="32"/>
    </row>
    <row r="918" ht="14.25" customHeight="1" spans="2:2">
      <c r="B918" s="32"/>
    </row>
    <row r="919" ht="14.25" customHeight="1" spans="2:2">
      <c r="B919" s="32"/>
    </row>
    <row r="920" ht="14.25" customHeight="1" spans="2:2">
      <c r="B920" s="32"/>
    </row>
    <row r="921" ht="14.25" customHeight="1" spans="2:2">
      <c r="B921" s="32"/>
    </row>
    <row r="922" ht="14.25" customHeight="1" spans="2:2">
      <c r="B922" s="32"/>
    </row>
    <row r="923" ht="14.25" customHeight="1" spans="2:2">
      <c r="B923" s="32"/>
    </row>
    <row r="924" ht="14.25" customHeight="1" spans="2:2">
      <c r="B924" s="32"/>
    </row>
    <row r="925" ht="14.25" customHeight="1" spans="2:2">
      <c r="B925" s="32"/>
    </row>
    <row r="926" ht="14.25" customHeight="1" spans="2:2">
      <c r="B926" s="32"/>
    </row>
    <row r="927" ht="14.25" customHeight="1" spans="2:2">
      <c r="B927" s="32"/>
    </row>
    <row r="928" ht="14.25" customHeight="1" spans="2:2">
      <c r="B928" s="32"/>
    </row>
    <row r="929" ht="14.25" customHeight="1" spans="2:2">
      <c r="B929" s="32"/>
    </row>
    <row r="930" ht="14.25" customHeight="1" spans="2:2">
      <c r="B930" s="32"/>
    </row>
    <row r="931" ht="14.25" customHeight="1" spans="2:2">
      <c r="B931" s="32"/>
    </row>
    <row r="932" ht="14.25" customHeight="1" spans="2:2">
      <c r="B932" s="32"/>
    </row>
    <row r="933" ht="14.25" customHeight="1" spans="2:2">
      <c r="B933" s="32"/>
    </row>
    <row r="934" ht="14.25" customHeight="1" spans="2:2">
      <c r="B934" s="32"/>
    </row>
    <row r="935" ht="14.25" customHeight="1" spans="2:2">
      <c r="B935" s="32"/>
    </row>
    <row r="936" ht="14.25" customHeight="1" spans="2:2">
      <c r="B936" s="32"/>
    </row>
    <row r="937" ht="14.25" customHeight="1" spans="2:2">
      <c r="B937" s="32"/>
    </row>
    <row r="938" ht="14.25" customHeight="1" spans="2:2">
      <c r="B938" s="32"/>
    </row>
    <row r="939" ht="14.25" customHeight="1" spans="2:2">
      <c r="B939" s="32"/>
    </row>
    <row r="940" ht="14.25" customHeight="1" spans="2:2">
      <c r="B940" s="32"/>
    </row>
    <row r="941" ht="14.25" customHeight="1" spans="2:2">
      <c r="B941" s="32"/>
    </row>
    <row r="942" ht="14.25" customHeight="1" spans="2:2">
      <c r="B942" s="32"/>
    </row>
    <row r="943" ht="14.25" customHeight="1" spans="2:2">
      <c r="B943" s="32"/>
    </row>
    <row r="944" ht="14.25" customHeight="1" spans="2:2">
      <c r="B944" s="32"/>
    </row>
    <row r="945" ht="14.25" customHeight="1" spans="2:2">
      <c r="B945" s="32"/>
    </row>
    <row r="946" ht="14.25" customHeight="1" spans="2:2">
      <c r="B946" s="32"/>
    </row>
    <row r="947" ht="14.25" customHeight="1" spans="2:2">
      <c r="B947" s="32"/>
    </row>
    <row r="948" ht="14.25" customHeight="1" spans="2:2">
      <c r="B948" s="32"/>
    </row>
    <row r="949" ht="14.25" customHeight="1" spans="2:2">
      <c r="B949" s="32"/>
    </row>
    <row r="950" ht="14.25" customHeight="1" spans="2:2">
      <c r="B950" s="32"/>
    </row>
    <row r="951" ht="14.25" customHeight="1" spans="2:2">
      <c r="B951" s="32"/>
    </row>
    <row r="952" ht="14.25" customHeight="1" spans="2:2">
      <c r="B952" s="32"/>
    </row>
    <row r="953" ht="14.25" customHeight="1" spans="2:2">
      <c r="B953" s="32"/>
    </row>
    <row r="954" ht="14.25" customHeight="1" spans="2:2">
      <c r="B954" s="32"/>
    </row>
    <row r="955" ht="14.25" customHeight="1" spans="2:2">
      <c r="B955" s="32"/>
    </row>
    <row r="956" ht="14.25" customHeight="1" spans="2:2">
      <c r="B956" s="32"/>
    </row>
    <row r="957" ht="14.25" customHeight="1" spans="2:2">
      <c r="B957" s="32"/>
    </row>
    <row r="958" ht="14.25" customHeight="1" spans="2:2">
      <c r="B958" s="32"/>
    </row>
    <row r="959" ht="14.25" customHeight="1" spans="2:2">
      <c r="B959" s="32"/>
    </row>
    <row r="960" ht="14.25" customHeight="1" spans="2:2">
      <c r="B960" s="32"/>
    </row>
    <row r="961" ht="14.25" customHeight="1" spans="2:2">
      <c r="B961" s="32"/>
    </row>
    <row r="962" ht="14.25" customHeight="1" spans="2:2">
      <c r="B962" s="32"/>
    </row>
    <row r="963" ht="14.25" customHeight="1" spans="2:2">
      <c r="B963" s="32"/>
    </row>
    <row r="964" ht="14.25" customHeight="1" spans="2:2">
      <c r="B964" s="32"/>
    </row>
    <row r="965" ht="14.25" customHeight="1" spans="2:2">
      <c r="B965" s="32"/>
    </row>
    <row r="966" ht="14.25" customHeight="1" spans="2:2">
      <c r="B966" s="32"/>
    </row>
    <row r="967" ht="14.25" customHeight="1" spans="2:2">
      <c r="B967" s="32"/>
    </row>
    <row r="968" ht="14.25" customHeight="1" spans="2:2">
      <c r="B968" s="32"/>
    </row>
    <row r="969" ht="14.25" customHeight="1" spans="2:2">
      <c r="B969" s="32"/>
    </row>
    <row r="970" ht="14.25" customHeight="1" spans="2:2">
      <c r="B970" s="32"/>
    </row>
    <row r="971" ht="14.25" customHeight="1" spans="2:2">
      <c r="B971" s="32"/>
    </row>
    <row r="972" ht="14.25" customHeight="1" spans="2:2">
      <c r="B972" s="32"/>
    </row>
    <row r="973" ht="14.25" customHeight="1" spans="2:2">
      <c r="B973" s="32"/>
    </row>
    <row r="974" ht="14.25" customHeight="1" spans="2:2">
      <c r="B974" s="32"/>
    </row>
    <row r="975" ht="14.25" customHeight="1" spans="2:2">
      <c r="B975" s="32"/>
    </row>
    <row r="976" ht="14.25" customHeight="1" spans="2:2">
      <c r="B976" s="32"/>
    </row>
    <row r="977" ht="14.25" customHeight="1" spans="2:2">
      <c r="B977" s="32"/>
    </row>
    <row r="978" ht="14.25" customHeight="1" spans="2:2">
      <c r="B978" s="32"/>
    </row>
    <row r="979" ht="14.25" customHeight="1" spans="2:2">
      <c r="B979" s="32"/>
    </row>
    <row r="980" ht="14.25" customHeight="1" spans="2:2">
      <c r="B980" s="32"/>
    </row>
    <row r="981" ht="14.25" customHeight="1" spans="2:2">
      <c r="B981" s="32"/>
    </row>
    <row r="982" ht="14.25" customHeight="1" spans="2:2">
      <c r="B982" s="32"/>
    </row>
    <row r="983" ht="14.25" customHeight="1" spans="2:2">
      <c r="B983" s="32"/>
    </row>
    <row r="984" ht="14.25" customHeight="1" spans="2:2">
      <c r="B984" s="32"/>
    </row>
    <row r="985" ht="14.25" customHeight="1" spans="2:2">
      <c r="B985" s="32"/>
    </row>
    <row r="986" ht="14.25" customHeight="1" spans="2:2">
      <c r="B986" s="32"/>
    </row>
    <row r="987" ht="14.25" customHeight="1" spans="2:2">
      <c r="B987" s="32"/>
    </row>
    <row r="988" ht="14.25" customHeight="1" spans="2:2">
      <c r="B988" s="32"/>
    </row>
    <row r="989" ht="14.25" customHeight="1" spans="2:2">
      <c r="B989" s="32"/>
    </row>
    <row r="990" ht="14.25" customHeight="1" spans="2:2">
      <c r="B990" s="32"/>
    </row>
    <row r="991" ht="14.25" customHeight="1" spans="2:2">
      <c r="B991" s="32"/>
    </row>
    <row r="992" ht="14.25" customHeight="1" spans="2:2">
      <c r="B992" s="32"/>
    </row>
    <row r="993" ht="14.25" customHeight="1" spans="2:2">
      <c r="B993" s="32"/>
    </row>
    <row r="994" ht="14.25" customHeight="1" spans="2:2">
      <c r="B994" s="32"/>
    </row>
  </sheetData>
  <mergeCells count="51">
    <mergeCell ref="A1:E1"/>
    <mergeCell ref="A2:B2"/>
    <mergeCell ref="A11:B11"/>
    <mergeCell ref="A23:B23"/>
    <mergeCell ref="A32:B32"/>
    <mergeCell ref="A46:E46"/>
    <mergeCell ref="A47:B47"/>
    <mergeCell ref="A58:B58"/>
    <mergeCell ref="A71:B71"/>
    <mergeCell ref="A82:B82"/>
    <mergeCell ref="A97:E97"/>
    <mergeCell ref="A98:B98"/>
    <mergeCell ref="A108:B108"/>
    <mergeCell ref="A120:B120"/>
    <mergeCell ref="A131:B131"/>
    <mergeCell ref="C3:C9"/>
    <mergeCell ref="C12:C21"/>
    <mergeCell ref="C24:C30"/>
    <mergeCell ref="C33:C42"/>
    <mergeCell ref="C48:C56"/>
    <mergeCell ref="C59:C69"/>
    <mergeCell ref="C72:C80"/>
    <mergeCell ref="C83:C93"/>
    <mergeCell ref="C99:C106"/>
    <mergeCell ref="C109:C118"/>
    <mergeCell ref="C121:C129"/>
    <mergeCell ref="C132:C142"/>
    <mergeCell ref="D3:D9"/>
    <mergeCell ref="D12:D21"/>
    <mergeCell ref="D24:D30"/>
    <mergeCell ref="D33:D42"/>
    <mergeCell ref="D48:D56"/>
    <mergeCell ref="D59:D69"/>
    <mergeCell ref="D72:D80"/>
    <mergeCell ref="D83:D93"/>
    <mergeCell ref="D99:D106"/>
    <mergeCell ref="D109:D118"/>
    <mergeCell ref="D121:D129"/>
    <mergeCell ref="D132:D142"/>
    <mergeCell ref="E3:E9"/>
    <mergeCell ref="E12:E21"/>
    <mergeCell ref="E24:E30"/>
    <mergeCell ref="E33:E42"/>
    <mergeCell ref="E48:E56"/>
    <mergeCell ref="E59:E69"/>
    <mergeCell ref="E72:E80"/>
    <mergeCell ref="E83:E93"/>
    <mergeCell ref="E99:E106"/>
    <mergeCell ref="E109:E118"/>
    <mergeCell ref="E121:E129"/>
    <mergeCell ref="E132:E142"/>
  </mergeCell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голые</vt:lpstr>
      <vt:lpstr>50 изоляция</vt:lpstr>
      <vt:lpstr>30 изоляция</vt:lpstr>
      <vt:lpstr>50 изол (каолин)</vt:lpstr>
      <vt:lpstr>25 изол (каолин)</vt:lpstr>
      <vt:lpstr>Фланцы</vt:lpstr>
      <vt:lpstr>комплекты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dcterms:created xsi:type="dcterms:W3CDTF">2021-04-22T06:51:00Z</dcterms:created>
  <dcterms:modified xsi:type="dcterms:W3CDTF">2026-06-04T07:34:03Z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9DECCE9574CB4A5881EC6EDE70A41A39_13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